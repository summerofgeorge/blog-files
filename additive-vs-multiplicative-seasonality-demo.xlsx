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2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blog-files\"/>
    </mc:Choice>
  </mc:AlternateContent>
  <xr:revisionPtr revIDLastSave="0" documentId="13_ncr:1_{4DA82A16-772E-4037-8F3C-00DE406AE5CA}" xr6:coauthVersionLast="47" xr6:coauthVersionMax="47" xr10:uidLastSave="{00000000-0000-0000-0000-000000000000}"/>
  <bookViews>
    <workbookView xWindow="-98" yWindow="-98" windowWidth="18915" windowHeight="12676" activeTab="1" xr2:uid="{00000000-000D-0000-FFFF-FFFF00000000}"/>
  </bookViews>
  <sheets>
    <sheet name="seasonality_data" sheetId="2" r:id="rId1"/>
    <sheet name="python_code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4" l="1" a="1"/>
  <c r="A2" i="4" s="1" a="1"/>
  <c r="A9" i="4" s="1" a="1"/>
  <c r="A10" i="4" s="1" a="1"/>
  <c r="A11" i="4" s="1" a="1"/>
  <c r="A12" i="4" s="1" a="1"/>
  <c r="A13" i="4" s="1" a="1"/>
  <c r="A21" i="4" s="1" a="1"/>
  <c r="A28" i="4" s="1" a="1"/>
  <c r="A29" i="4" s="1" a="1"/>
  <c r="A30" i="4" s="1" a="1"/>
  <c r="A31" i="4" s="1" a="1"/>
  <c r="A42" i="4" s="1" a="1"/>
  <c r="A52" i="4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3">
    <bk>
      <extLst>
        <ext uri="{3e2802c4-a4d2-4d8b-9148-e3be6c30e623}">
          <xlrd:rvb i="0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9"/>
        </ext>
      </extLst>
    </bk>
  </futureMetadata>
  <cellMetadata count="1">
    <bk>
      <rc t="1" v="0"/>
    </bk>
  </cellMetadata>
  <valueMetadata count="13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statsmodels.tsa.holtwinters import ExponentialSmoothing
df = xl(%P2%, headers=True)
df["date"] = pd.to_datetime(df["date"])
df = df.set_index("date").asfreq("MS")
df.head()</code>
    </pythonScript>
    <pythonScript>
      <code>fig, ax = plt.subplots(figsize=(10, 5))
df.plot(ax=ax)
ax.set_title("Additive vs. multiplicative seasonality")
ax.set_xlabel("")
ax.set_ylabel("Sales")
fig</code>
    </pythonScript>
    <pythonScript>
      <code>test_size = 12
train = df.iloc[:-test_size]
test = df.iloc[-test_size:]</code>
    </pythonScript>
    <pythonScript>
      <code>target = "additive_sales"</code>
    </pythonScript>
    <pythonScript>
      <code>additive_model = ExponentialSmoothing(
    train[target],
    trend="add",
    seasonal="add",
    seasonal_periods=12
).fit()
multiplicative_model = ExponentialSmoothing(
    train[target],
    trend="add",
    seasonal="mul",
    seasonal_periods=12
).fit()</code>
    </pythonScript>
    <pythonScript>
      <code>additive_forecast = additive_model.forecast(test_size)
multiplicative_forecast = multiplicative_model.forecast(test_size)</code>
    </pythonScript>
    <pythonScript>
      <code>forecast_comparison = pd.DataFrame({
    "actual": test[target],
    "additive_forecast": additive_forecast,
    "multiplicative_forecast": multiplicative_forecast
})
forecast_comparison</code>
    </pythonScript>
    <pythonScript>
      <code>fig, ax = plt.subplots(figsize=(10, 5))
train[target].plot(ax=ax, label="train")
forecast_comparison.plot(ax=ax)
ax.set_title("Forecast comparison")
ax.set_xlabel("")
ax.set_ylabel("Sales")
fig</code>
    </pythonScript>
    <pythonScript>
      <code>additive_mape = (
    (forecast_comparison["actual"] - forecast_comparison["additive_forecast"]).abs()
    / forecast_comparison["actual"]
).mean() * 100
multiplicative_mape = (
    (forecast_comparison["actual"] - forecast_comparison["multiplicative_forecast"]).abs()
    / forecast_comparison["actual"]
).mean() * 100
pd.Series({
    "additive_seasonality": additive_mape,
    "multiplicative_seasonality": multiplicative_mape
}, name="mape")</code>
    </pythonScript>
    <pythonScript>
      <code>target = "multiplicative_sales"</code>
    </pythonScript>
    <pythonScript>
      <code>additive_forecast = additive_model.forecast(test_size)
multiplicative_forecast = multiplicative_model.forecast(test_size)
forecast_comparison = pd.DataFrame({
    "actual": test[target],
    "additive_forecast": additive_forecast,
    "multiplicative_forecast": multiplicative_forecast
})
forecast_comparison</code>
    </pythonScript>
  </pythonScripts>
</python>
</file>

<file path=xl/sharedStrings.xml><?xml version="1.0" encoding="utf-8"?>
<sst xmlns="http://schemas.openxmlformats.org/spreadsheetml/2006/main" count="3" uniqueCount="3">
  <si>
    <t>date</t>
  </si>
  <si>
    <t>additive_sales</t>
  </si>
  <si>
    <t>multiplicative_sales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</si>
</sst>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yyyy"/>
    <numFmt numFmtId="165" formatCode="\$#,##0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6">
  <a r="2">
    <v>877</v>
    <v>449</v>
  </a>
  <a r="13" c="3">
    <v t="s"/>
    <v t="s">additive_sales</v>
    <v t="s">multiplicative_sales</v>
    <v t="s">date</v>
    <v t="s"/>
    <v t="s"/>
    <v t="r">5</v>
    <v>190667</v>
    <v>160310</v>
    <v t="r">6</v>
    <v>200683</v>
    <v>171731</v>
    <v t="r">7</v>
    <v>207983</v>
    <v>189261</v>
    <v t="r">8</v>
    <v>210909</v>
    <v>200953</v>
    <v t="r">9</v>
    <v>219022</v>
    <v>218062</v>
    <v t="s">...</v>
    <v t="s">...</v>
    <v t="s">...</v>
    <v t="r">10</v>
    <v>234390</v>
    <v>237105</v>
    <v t="r">11</v>
    <v>224632</v>
    <v>216498</v>
    <v t="r">12</v>
    <v>237712</v>
    <v>229223</v>
    <v t="r">13</v>
    <v>244530</v>
    <v>259078</v>
    <v t="r">14</v>
    <v>260685</v>
    <v>292858</v>
  </a>
  <a r="11" c="2">
    <v t="r">5</v>
    <v>175322.94635978335</v>
    <v t="r">6</v>
    <v>183896.75246052333</v>
    <v t="r">7</v>
    <v>196089.6769891204</v>
    <v t="r">8</v>
    <v>204272.64443502677</v>
    <v t="r">9</v>
    <v>209993.46809416855</v>
    <v t="s">...</v>
    <v t="s">...</v>
    <v t="r">10</v>
    <v>228515.10063879305</v>
    <v t="r">11</v>
    <v>219744.49698141587</v>
    <v t="r">12</v>
    <v>228422.3367771176</v>
    <v t="r">13</v>
    <v>246654.81353513442</v>
    <v t="r">14</v>
    <v>269506.96604381839</v>
  </a>
  <a r="12" c="4">
    <v t="s"/>
    <v t="s">actual</v>
    <v t="s">additive_forecast</v>
    <v t="s">multiplicative_forecast</v>
    <v t="r">5</v>
    <v>190667</v>
    <v>189591.3872375238</v>
    <v>175322.94635978335</v>
    <v t="r">6</v>
    <v>200683</v>
    <v>196462.53323523232</v>
    <v>183896.75246052333</v>
    <v t="r">7</v>
    <v>207983</v>
    <v>206341.29780003594</v>
    <v>196089.6769891204</v>
    <v t="r">8</v>
    <v>210909</v>
    <v>212962.95957775676</v>
    <v>204272.64443502677</v>
    <v t="r">9</v>
    <v>219022</v>
    <v>218220.23879023714</v>
    <v>209993.46809416855</v>
    <v t="s">...</v>
    <v t="s">...</v>
    <v t="s">...</v>
    <v t="s">...</v>
    <v t="r">10</v>
    <v>234390</v>
    <v>232726.31831120385</v>
    <v>228515.10063879305</v>
    <v t="r">11</v>
    <v>224632</v>
    <v>227888.91820649881</v>
    <v>219744.49698141587</v>
    <v t="r">12</v>
    <v>237712</v>
    <v>234259.42922691151</v>
    <v>228422.3367771176</v>
    <v t="r">13</v>
    <v>244530</v>
    <v>247007.53022445863</v>
    <v>246654.81353513442</v>
    <v t="r">14</v>
    <v>260685</v>
    <v>263313.54370428447</v>
    <v>269506.96604381839</v>
  </a>
  <a r="3" c="2">
    <v t="s"/>
    <v t="s">mape</v>
    <v t="s">additive_seasonality</v>
    <v>1.310565302077072</v>
    <v t="s">multiplicative_seasonality</v>
    <v>4.1695081458290124</v>
  </a>
  <a r="12" c="4">
    <v t="s"/>
    <v t="s">actual</v>
    <v t="s">additive_forecast</v>
    <v t="s">multiplicative_forecast</v>
    <v t="r">5</v>
    <v>160310</v>
    <v>179077.72120032209</v>
    <v>157966.86815037034</v>
    <v t="r">6</v>
    <v>171731</v>
    <v>188839.7444214912</v>
    <v>170585.92922214157</v>
    <v t="r">7</v>
    <v>189261</v>
    <v>202083.14886627844</v>
    <v>187372.26801281827</v>
    <v t="r">8</v>
    <v>200953</v>
    <v>212189.16208727926</v>
    <v>199875.11594326119</v>
    <v t="r">9</v>
    <v>218062</v>
    <v>221762.79658232184</v>
    <v>212046.66135110997</v>
    <v t="s">...</v>
    <v t="s">...</v>
    <v t="s">...</v>
    <v t="s">...</v>
    <v t="r">10</v>
    <v>237105</v>
    <v>237731.01571138919</v>
    <v>232817.72115578598</v>
    <v t="r">11</v>
    <v>216498</v>
    <v>225481.68607895102</v>
    <v>213416.9412230044</v>
    <v t="r">12</v>
    <v>229223</v>
    <v>237557.87335944691</v>
    <v>230264.45092148802</v>
    <v t="r">13</v>
    <v>259078</v>
    <v>252501.8519830303</v>
    <v>251471.52168912391</v>
    <v t="r">14</v>
    <v>292858</v>
    <v>281765.16312758729</v>
    <v>294377.39625400089</v>
  </a>
</arrayData>
</file>

<file path=xl/richData/rdrichvalue.xml><?xml version="1.0" encoding="utf-8"?>
<rvData xmlns="http://schemas.microsoft.com/office/spreadsheetml/2017/richdata" count="40">
  <rv s="0">
    <v>14</v>
  </rv>
  <rv s="1">
    <v>0</v>
    <v>9</v>
  </rv>
  <rv s="2">
    <v>0</v>
  </rv>
  <rv s="3">
    <v>Image</v>
    <v>0</v>
    <v>1</v>
    <v>2</v>
  </rv>
  <rv s="4">
    <v>&lt;class 'PIL.PngImagePlugin.PngImageFile'&gt;</v>
    <v>PngImageFile</v>
    <v>&lt;PIL.PngImagePlugin.PngImageFile image mode=RGBA size=877x449 at 0x7FCC3CB44D40&gt;</v>
    <v>3</v>
    <v>1</v>
  </rv>
  <rv s="5">
    <fb>45658</fb>
    <v>4</v>
  </rv>
  <rv s="5">
    <fb>45689</fb>
    <v>4</v>
  </rv>
  <rv s="5">
    <fb>45717</fb>
    <v>4</v>
  </rv>
  <rv s="5">
    <fb>45748</fb>
    <v>4</v>
  </rv>
  <rv s="5">
    <fb>45778</fb>
    <v>4</v>
  </rv>
  <rv s="5">
    <fb>45870</fb>
    <v>4</v>
  </rv>
  <rv s="5">
    <fb>45901</fb>
    <v>4</v>
  </rv>
  <rv s="5">
    <fb>45931</fb>
    <v>4</v>
  </rv>
  <rv s="5">
    <fb>45962</fb>
    <v>4</v>
  </rv>
  <rv s="5">
    <fb>45992</fb>
    <v>4</v>
  </rv>
  <rv s="2">
    <v>1</v>
  </rv>
  <rv s="6">
    <v>DataFrame</v>
    <v>3</v>
    <v>15</v>
  </rv>
  <rv s="4">
    <v>&lt;class 'pandas.core.frame.DataFrame'&gt;</v>
    <v>DataFrame</v>
    <v xml:space="preserve">            additive_sales  multiplicative_sales
date                                            
2025-01-01          190667                160310
2025-02-01          200683                171731
2025-03-01          207983                189261
2025-04...</v>
    <v>16</v>
    <v>1</v>
  </rv>
  <rv s="7">
    <fb t="s">additive_sales</fb>
    <v>&lt;class 'str'&gt;</v>
    <v>str</v>
    <v>additive_sales</v>
    <v>additive_sales</v>
    <v>1</v>
  </rv>
  <rv s="8">
    <v>&lt;class 'statsmodels.tsa.holtwinters.results.HoltWintersResultsWrapper'&gt;</v>
    <v>HoltWintersResultsWrapper</v>
    <v>&lt;statsmodels.tsa.holtwinters.results.HoltWintersResultsWrapper object at 0x7fcc3c9cfda0&gt;</v>
    <v>1</v>
  </rv>
  <rv s="2">
    <v>2</v>
  </rv>
  <rv s="6">
    <v>Series</v>
    <v>6</v>
    <v>20</v>
  </rv>
  <rv s="4">
    <v>&lt;class 'pandas.core.series.Series'&gt;</v>
    <v>Series</v>
    <v>2025-01-01    175322.946360
2025-02-01    183896.752461
2025-03-01    196089.676989
2025-04-01    204272.644435
2025-05-01    209993.468094
2025-06-01    219451.015467
2025-07-01    237492.905957
2025-08-01    228515.100639
2025-09-01    219744.496981
...</v>
    <v>21</v>
    <v>1</v>
  </rv>
  <rv s="2">
    <v>3</v>
  </rv>
  <rv s="6">
    <v>DataFrame</v>
    <v>8</v>
    <v>23</v>
  </rv>
  <rv s="4">
    <v>&lt;class 'pandas.core.frame.DataFrame'&gt;</v>
    <v>DataFrame</v>
    <v xml:space="preserve">            actual  additive_forecast  multiplicative_forecast
2025-01-01  190667      189591.387238            175322.946360
2025-02-01  200683      196462.533235            183896.752461
2025-03-01  207983      206341.297800            196089.676989
...</v>
    <v>24</v>
    <v>1</v>
  </rv>
  <rv s="1">
    <v>1</v>
    <v>9</v>
  </rv>
  <rv s="3">
    <v>Image</v>
    <v>0</v>
    <v>26</v>
    <v>2</v>
  </rv>
  <rv s="4">
    <v>&lt;class 'PIL.PngImagePlugin.PngImageFile'&gt;</v>
    <v>PngImageFile</v>
    <v>&lt;PIL.PngImagePlugin.PngImageFile image mode=RGBA size=877x449 at 0x7FCC3CC48110&gt;</v>
    <v>27</v>
    <v>1</v>
  </rv>
  <rv s="2">
    <v>4</v>
  </rv>
  <rv s="6">
    <v>Series</v>
    <v>10</v>
    <v>29</v>
  </rv>
  <rv s="4">
    <v>&lt;class 'pandas.core.series.Series'&gt;</v>
    <v>Series</v>
    <v>additive_seasonality          1.310565
multiplicative_seasonality    4.169508
Name: mape, dtype: float64</v>
    <v>30</v>
    <v>1</v>
  </rv>
  <rv s="7">
    <fb t="s">multiplicative_sales</fb>
    <v>&lt;class 'str'&gt;</v>
    <v>str</v>
    <v>multiplicative_sales</v>
    <v>multiplicative_sales</v>
    <v>1</v>
  </rv>
  <rv s="8">
    <v>&lt;class 'statsmodels.tsa.holtwinters.results.HoltWintersResultsWrapper'&gt;</v>
    <v>HoltWintersResultsWrapper</v>
    <v>&lt;statsmodels.tsa.holtwinters.results.HoltWintersResultsWrapper object at 0x7fcc460910d0&gt;</v>
    <v>1</v>
  </rv>
  <rv s="2">
    <v>5</v>
  </rv>
  <rv s="6">
    <v>DataFrame</v>
    <v>8</v>
    <v>34</v>
  </rv>
  <rv s="4">
    <v>&lt;class 'pandas.core.frame.DataFrame'&gt;</v>
    <v>DataFrame</v>
    <v xml:space="preserve">            actual  additive_forecast  multiplicative_forecast
2025-01-01  160310      179077.721200            157966.868150
2025-02-01  171731      188839.744421            170585.929222
2025-03-01  189261      202083.148866            187372.268013
...</v>
    <v>35</v>
    <v>1</v>
  </rv>
  <rv s="1">
    <v>2</v>
    <v>9</v>
  </rv>
  <rv s="3">
    <v>Image</v>
    <v>0</v>
    <v>37</v>
    <v>2</v>
  </rv>
  <rv s="4">
    <v>&lt;class 'PIL.PngImagePlugin.PngImageFile'&gt;</v>
    <v>PngImageFile</v>
    <v>&lt;PIL.PngImagePlugin.PngImageFile image mode=RGBA size=877x449 at 0x7FCC3CE3AC90&gt;</v>
    <v>38</v>
    <v>1</v>
  </rv>
</rvData>
</file>

<file path=xl/richData/rdrichvaluestructure.xml><?xml version="1.0" encoding="utf-8"?>
<rvStructures xmlns="http://schemas.microsoft.com/office/spreadsheetml/2017/richdata" count="9">
  <s t="_error">
    <k n="errorType" t="i"/>
  </s>
  <s t="_localImage">
    <k n="_rvRel:LocalImageIdentifier" t="i"/>
    <k n="CalcOrigin" t="i"/>
  </s>
  <s t="_array">
    <k n="array" t="a"/>
  </s>
  <s t="_entity">
    <k n="_DisplayString" t="s"/>
    <k n="_Format" t="spb"/>
    <k n="image" t="r"/>
    <k n="size" t="r"/>
  </s>
  <s t="_python">
    <k n="Python_type" t="s"/>
    <k n="Python_typeName" t="s"/>
    <k n="Python_str" t="s"/>
    <k n="preview" t="r"/>
    <k n="_Provider" t="spb"/>
  </s>
  <s t="_formattednumber">
    <k n="_Format" t="spb"/>
  </s>
  <s t="_entity">
    <k n="_DisplayString" t="s"/>
    <k n="_ViewInfo" t="spb"/>
    <k n="arrayPreview" t="r"/>
  </s>
  <s t="_python">
    <k n="Python_type" t="s"/>
    <k n="Python_typeName" t="s"/>
    <k n="Python_str" t="s"/>
    <k n="basicValue" t="s"/>
    <k n="_Provider" t="spb"/>
  </s>
  <s t="_python">
    <k n="Python_type" t="s"/>
    <k n="Python_typeName" t="s"/>
    <k n="Python_str" t="s"/>
    <k n="_Provider" t="spb"/>
  </s>
</rvStructures>
</file>

<file path=xl/richData/rdsupportingpropertybag.xml><?xml version="1.0" encoding="utf-8"?>
<supportingPropertyBags xmlns="http://schemas.microsoft.com/office/spreadsheetml/2017/richdata2">
  <spbData count="11">
    <spb s="0">
      <v>1</v>
    </spb>
    <spb s="1">
      <v>https://www.anaconda.com/excel</v>
      <v>https://res.cdn.office.net/officepysvc/prod-preview/anacondalogo.png</v>
      <v>Python provided by Anaconda</v>
    </spb>
    <spb s="2">
      <v>12</v>
      <v>2</v>
      <v>DataFrame</v>
      <v>arrayPreview</v>
      <v>1</v>
    </spb>
    <spb s="3">
      <v>2</v>
    </spb>
    <spb s="4">
      <v>2</v>
    </spb>
    <spb s="5">
      <v>12</v>
      <v>1</v>
      <v>Series</v>
      <v>arrayPreview</v>
    </spb>
    <spb s="3">
      <v>5</v>
    </spb>
    <spb s="2">
      <v>12</v>
      <v>3</v>
      <v>DataFrame</v>
      <v>arrayPreview</v>
      <v>1</v>
    </spb>
    <spb s="3">
      <v>7</v>
    </spb>
    <spb s="2">
      <v>2</v>
      <v>1</v>
      <v>Series</v>
      <v>arrayPreview</v>
      <v>1</v>
    </spb>
    <spb s="3">
      <v>9</v>
    </spb>
  </spbData>
</supportingPropertyBags>
</file>

<file path=xl/richData/rdsupportingpropertybagstructure.xml><?xml version="1.0" encoding="utf-8"?>
<spbStructures xmlns="http://schemas.microsoft.com/office/spreadsheetml/2017/richdata2" count="6">
  <s>
    <k n="image" t="i"/>
  </s>
  <s>
    <k n="link" t="s"/>
    <k n="logo" t="s"/>
    <k n="name" t="s"/>
  </s>
  <s>
    <k n="drw" t="i"/>
    <k n="dcol" t="i"/>
    <k n="name" t="s"/>
    <k n="array" t="s"/>
    <k n="headers" t="b"/>
  </s>
  <s>
    <k n="ArrayCardInfo" t="spb"/>
  </s>
  <s>
    <k n="_Self" t="i"/>
  </s>
  <s>
    <k n="drw" t="i"/>
    <k n="dcol" t="i"/>
    <k n="name" t="s"/>
    <k n="array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Properties>
    <rPr n="IsHeroField" t="b"/>
  </richProperties>
  <richStyles>
    <rSty>
      <rpv i="0">1</rpv>
    </rSty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asonality_data" displayName="seasonality_data" ref="A1:C61" totalsRowShown="0">
  <tableColumns count="3">
    <tableColumn id="1" xr3:uid="{00000000-0010-0000-0000-000001000000}" name="date"/>
    <tableColumn id="2" xr3:uid="{00000000-0010-0000-0000-000002000000}" name="additive_sales"/>
    <tableColumn id="3" xr3:uid="{00000000-0010-0000-0000-000003000000}" name="multiplicative_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1"/>
  <sheetViews>
    <sheetView workbookViewId="0"/>
  </sheetViews>
  <sheetFormatPr defaultRowHeight="13.5"/>
  <cols>
    <col min="1" max="1" width="7.875" customWidth="1"/>
    <col min="2" max="2" width="13.875" customWidth="1"/>
    <col min="3" max="3" width="18.125" customWidth="1"/>
  </cols>
  <sheetData>
    <row r="1" spans="1:3" ht="13.9">
      <c r="A1" s="3" t="s">
        <v>0</v>
      </c>
      <c r="B1" s="3" t="s">
        <v>1</v>
      </c>
      <c r="C1" s="3" t="s">
        <v>2</v>
      </c>
    </row>
    <row r="2" spans="1:3">
      <c r="A2" s="1">
        <v>44197</v>
      </c>
      <c r="B2" s="2">
        <v>81640</v>
      </c>
      <c r="C2" s="2">
        <v>77838</v>
      </c>
    </row>
    <row r="3" spans="1:3">
      <c r="A3" s="1">
        <v>44228</v>
      </c>
      <c r="B3" s="2">
        <v>89922</v>
      </c>
      <c r="C3" s="2">
        <v>85541</v>
      </c>
    </row>
    <row r="4" spans="1:3">
      <c r="A4" s="1">
        <v>44256</v>
      </c>
      <c r="B4" s="2">
        <v>98081</v>
      </c>
      <c r="C4" s="2">
        <v>92272</v>
      </c>
    </row>
    <row r="5" spans="1:3">
      <c r="A5" s="1">
        <v>44287</v>
      </c>
      <c r="B5" s="2">
        <v>107431</v>
      </c>
      <c r="C5" s="2">
        <v>102008</v>
      </c>
    </row>
    <row r="6" spans="1:3">
      <c r="A6" s="1">
        <v>44317</v>
      </c>
      <c r="B6" s="2">
        <v>113258</v>
      </c>
      <c r="C6" s="2">
        <v>108951</v>
      </c>
    </row>
    <row r="7" spans="1:3">
      <c r="A7" s="1">
        <v>44348</v>
      </c>
      <c r="B7" s="2">
        <v>121581</v>
      </c>
      <c r="C7" s="2">
        <v>118177</v>
      </c>
    </row>
    <row r="8" spans="1:3">
      <c r="A8" s="1">
        <v>44378</v>
      </c>
      <c r="B8" s="2">
        <v>130842</v>
      </c>
      <c r="C8" s="2">
        <v>126952</v>
      </c>
    </row>
    <row r="9" spans="1:3">
      <c r="A9" s="1">
        <v>44409</v>
      </c>
      <c r="B9" s="2">
        <v>125554</v>
      </c>
      <c r="C9" s="2">
        <v>123114</v>
      </c>
    </row>
    <row r="10" spans="1:3">
      <c r="A10" s="1">
        <v>44440</v>
      </c>
      <c r="B10" s="2">
        <v>121216</v>
      </c>
      <c r="C10" s="2">
        <v>115867</v>
      </c>
    </row>
    <row r="11" spans="1:3">
      <c r="A11" s="1">
        <v>44470</v>
      </c>
      <c r="B11" s="2">
        <v>127904</v>
      </c>
      <c r="C11" s="2">
        <v>123237</v>
      </c>
    </row>
    <row r="12" spans="1:3">
      <c r="A12" s="1">
        <v>44501</v>
      </c>
      <c r="B12" s="2">
        <v>141329</v>
      </c>
      <c r="C12" s="2">
        <v>134257</v>
      </c>
    </row>
    <row r="13" spans="1:3">
      <c r="A13" s="1">
        <v>44531</v>
      </c>
      <c r="B13" s="2">
        <v>155419</v>
      </c>
      <c r="C13" s="2">
        <v>159911</v>
      </c>
    </row>
    <row r="14" spans="1:3">
      <c r="A14" s="1">
        <v>44562</v>
      </c>
      <c r="B14" s="2">
        <v>110584</v>
      </c>
      <c r="C14" s="2">
        <v>98307</v>
      </c>
    </row>
    <row r="15" spans="1:3">
      <c r="A15" s="1">
        <v>44593</v>
      </c>
      <c r="B15" s="2">
        <v>117541</v>
      </c>
      <c r="C15" s="2">
        <v>107056</v>
      </c>
    </row>
    <row r="16" spans="1:3">
      <c r="A16" s="1">
        <v>44621</v>
      </c>
      <c r="B16" s="2">
        <v>126756</v>
      </c>
      <c r="C16" s="2">
        <v>116147</v>
      </c>
    </row>
    <row r="17" spans="1:3">
      <c r="A17" s="1">
        <v>44652</v>
      </c>
      <c r="B17" s="2">
        <v>134421</v>
      </c>
      <c r="C17" s="2">
        <v>125360</v>
      </c>
    </row>
    <row r="18" spans="1:3">
      <c r="A18" s="1">
        <v>44682</v>
      </c>
      <c r="B18" s="2">
        <v>133650</v>
      </c>
      <c r="C18" s="2">
        <v>134215</v>
      </c>
    </row>
    <row r="19" spans="1:3">
      <c r="A19" s="1">
        <v>44713</v>
      </c>
      <c r="B19" s="2">
        <v>145110</v>
      </c>
      <c r="C19" s="2">
        <v>145787</v>
      </c>
    </row>
    <row r="20" spans="1:3">
      <c r="A20" s="1">
        <v>44743</v>
      </c>
      <c r="B20" s="2">
        <v>157261</v>
      </c>
      <c r="C20" s="2">
        <v>154065</v>
      </c>
    </row>
    <row r="21" spans="1:3">
      <c r="A21" s="1">
        <v>44774</v>
      </c>
      <c r="B21" s="2">
        <v>155918</v>
      </c>
      <c r="C21" s="2">
        <v>151302</v>
      </c>
    </row>
    <row r="22" spans="1:3">
      <c r="A22" s="1">
        <v>44805</v>
      </c>
      <c r="B22" s="2">
        <v>146784</v>
      </c>
      <c r="C22" s="2">
        <v>139187</v>
      </c>
    </row>
    <row r="23" spans="1:3">
      <c r="A23" s="1">
        <v>44835</v>
      </c>
      <c r="B23" s="2">
        <v>154486</v>
      </c>
      <c r="C23" s="2">
        <v>152065</v>
      </c>
    </row>
    <row r="24" spans="1:3">
      <c r="A24" s="1">
        <v>44866</v>
      </c>
      <c r="B24" s="2">
        <v>167996</v>
      </c>
      <c r="C24" s="2">
        <v>166906</v>
      </c>
    </row>
    <row r="25" spans="1:3">
      <c r="A25" s="1">
        <v>44896</v>
      </c>
      <c r="B25" s="2">
        <v>184225</v>
      </c>
      <c r="C25" s="2">
        <v>193875</v>
      </c>
    </row>
    <row r="26" spans="1:3">
      <c r="A26" s="1">
        <v>44927</v>
      </c>
      <c r="B26" s="2">
        <v>133233</v>
      </c>
      <c r="C26" s="2">
        <v>118158</v>
      </c>
    </row>
    <row r="27" spans="1:3">
      <c r="A27" s="1">
        <v>44958</v>
      </c>
      <c r="B27" s="2">
        <v>141825</v>
      </c>
      <c r="C27" s="2">
        <v>129421</v>
      </c>
    </row>
    <row r="28" spans="1:3">
      <c r="A28" s="1">
        <v>44986</v>
      </c>
      <c r="B28" s="2">
        <v>150575</v>
      </c>
      <c r="C28" s="2">
        <v>145446</v>
      </c>
    </row>
    <row r="29" spans="1:3">
      <c r="A29" s="1">
        <v>45017</v>
      </c>
      <c r="B29" s="2">
        <v>157352</v>
      </c>
      <c r="C29" s="2">
        <v>151006</v>
      </c>
    </row>
    <row r="30" spans="1:3">
      <c r="A30" s="1">
        <v>45047</v>
      </c>
      <c r="B30" s="2">
        <v>168521</v>
      </c>
      <c r="C30" s="2">
        <v>164357</v>
      </c>
    </row>
    <row r="31" spans="1:3">
      <c r="A31" s="1">
        <v>45078</v>
      </c>
      <c r="B31" s="2">
        <v>175064</v>
      </c>
      <c r="C31" s="2">
        <v>173715</v>
      </c>
    </row>
    <row r="32" spans="1:3">
      <c r="A32" s="1">
        <v>45108</v>
      </c>
      <c r="B32" s="2">
        <v>185566</v>
      </c>
      <c r="C32" s="2">
        <v>185710</v>
      </c>
    </row>
    <row r="33" spans="1:3">
      <c r="A33" s="1">
        <v>45139</v>
      </c>
      <c r="B33" s="2">
        <v>176643</v>
      </c>
      <c r="C33" s="2">
        <v>180496</v>
      </c>
    </row>
    <row r="34" spans="1:3">
      <c r="A34" s="1">
        <v>45170</v>
      </c>
      <c r="B34" s="2">
        <v>175782</v>
      </c>
      <c r="C34" s="2">
        <v>162425</v>
      </c>
    </row>
    <row r="35" spans="1:3">
      <c r="A35" s="1">
        <v>45200</v>
      </c>
      <c r="B35" s="2">
        <v>180684</v>
      </c>
      <c r="C35" s="2">
        <v>178318</v>
      </c>
    </row>
    <row r="36" spans="1:3">
      <c r="A36" s="1">
        <v>45231</v>
      </c>
      <c r="B36" s="2">
        <v>192011</v>
      </c>
      <c r="C36" s="2">
        <v>197476</v>
      </c>
    </row>
    <row r="37" spans="1:3">
      <c r="A37" s="1">
        <v>45261</v>
      </c>
      <c r="B37" s="2">
        <v>210452</v>
      </c>
      <c r="C37" s="2">
        <v>232871</v>
      </c>
    </row>
    <row r="38" spans="1:3">
      <c r="A38" s="1">
        <v>45292</v>
      </c>
      <c r="B38" s="2">
        <v>162750</v>
      </c>
      <c r="C38" s="2">
        <v>138754</v>
      </c>
    </row>
    <row r="39" spans="1:3">
      <c r="A39" s="1">
        <v>45323</v>
      </c>
      <c r="B39" s="2">
        <v>167996</v>
      </c>
      <c r="C39" s="2">
        <v>149060</v>
      </c>
    </row>
    <row r="40" spans="1:3">
      <c r="A40" s="1">
        <v>45352</v>
      </c>
      <c r="B40" s="2">
        <v>179981</v>
      </c>
      <c r="C40" s="2">
        <v>164116</v>
      </c>
    </row>
    <row r="41" spans="1:3">
      <c r="A41" s="1">
        <v>45383</v>
      </c>
      <c r="B41" s="2">
        <v>185624</v>
      </c>
      <c r="C41" s="2">
        <v>179972</v>
      </c>
    </row>
    <row r="42" spans="1:3">
      <c r="A42" s="1">
        <v>45413</v>
      </c>
      <c r="B42" s="2">
        <v>191191</v>
      </c>
      <c r="C42" s="2">
        <v>187338</v>
      </c>
    </row>
    <row r="43" spans="1:3">
      <c r="A43" s="1">
        <v>45444</v>
      </c>
      <c r="B43" s="2">
        <v>195597</v>
      </c>
      <c r="C43" s="2">
        <v>197116</v>
      </c>
    </row>
    <row r="44" spans="1:3">
      <c r="A44" s="1">
        <v>45474</v>
      </c>
      <c r="B44" s="2">
        <v>206981</v>
      </c>
      <c r="C44" s="2">
        <v>216563</v>
      </c>
    </row>
    <row r="45" spans="1:3">
      <c r="A45" s="1">
        <v>45505</v>
      </c>
      <c r="B45" s="2">
        <v>209584</v>
      </c>
      <c r="C45" s="2">
        <v>210121</v>
      </c>
    </row>
    <row r="46" spans="1:3">
      <c r="A46" s="1">
        <v>45536</v>
      </c>
      <c r="B46" s="2">
        <v>200453</v>
      </c>
      <c r="C46" s="2">
        <v>191281</v>
      </c>
    </row>
    <row r="47" spans="1:3">
      <c r="A47" s="1">
        <v>45566</v>
      </c>
      <c r="B47" s="2">
        <v>209712</v>
      </c>
      <c r="C47" s="2">
        <v>207167</v>
      </c>
    </row>
    <row r="48" spans="1:3">
      <c r="A48" s="1">
        <v>45597</v>
      </c>
      <c r="B48" s="2">
        <v>219884</v>
      </c>
      <c r="C48" s="2">
        <v>222610</v>
      </c>
    </row>
    <row r="49" spans="1:3">
      <c r="A49" s="1">
        <v>45627</v>
      </c>
      <c r="B49" s="2">
        <v>237658</v>
      </c>
      <c r="C49" s="2">
        <v>261542</v>
      </c>
    </row>
    <row r="50" spans="1:3">
      <c r="A50" s="1">
        <v>45658</v>
      </c>
      <c r="B50" s="2">
        <v>190667</v>
      </c>
      <c r="C50" s="2">
        <v>160310</v>
      </c>
    </row>
    <row r="51" spans="1:3">
      <c r="A51" s="1">
        <v>45689</v>
      </c>
      <c r="B51" s="2">
        <v>200683</v>
      </c>
      <c r="C51" s="2">
        <v>171731</v>
      </c>
    </row>
    <row r="52" spans="1:3">
      <c r="A52" s="1">
        <v>45717</v>
      </c>
      <c r="B52" s="2">
        <v>207983</v>
      </c>
      <c r="C52" s="2">
        <v>189261</v>
      </c>
    </row>
    <row r="53" spans="1:3">
      <c r="A53" s="1">
        <v>45748</v>
      </c>
      <c r="B53" s="2">
        <v>210909</v>
      </c>
      <c r="C53" s="2">
        <v>200953</v>
      </c>
    </row>
    <row r="54" spans="1:3">
      <c r="A54" s="1">
        <v>45778</v>
      </c>
      <c r="B54" s="2">
        <v>219022</v>
      </c>
      <c r="C54" s="2">
        <v>218062</v>
      </c>
    </row>
    <row r="55" spans="1:3">
      <c r="A55" s="1">
        <v>45809</v>
      </c>
      <c r="B55" s="2">
        <v>228641</v>
      </c>
      <c r="C55" s="2">
        <v>229310</v>
      </c>
    </row>
    <row r="56" spans="1:3">
      <c r="A56" s="1">
        <v>45839</v>
      </c>
      <c r="B56" s="2">
        <v>228860</v>
      </c>
      <c r="C56" s="2">
        <v>247147</v>
      </c>
    </row>
    <row r="57" spans="1:3">
      <c r="A57" s="1">
        <v>45870</v>
      </c>
      <c r="B57" s="2">
        <v>234390</v>
      </c>
      <c r="C57" s="2">
        <v>237105</v>
      </c>
    </row>
    <row r="58" spans="1:3">
      <c r="A58" s="1">
        <v>45901</v>
      </c>
      <c r="B58" s="2">
        <v>224632</v>
      </c>
      <c r="C58" s="2">
        <v>216498</v>
      </c>
    </row>
    <row r="59" spans="1:3">
      <c r="A59" s="1">
        <v>45931</v>
      </c>
      <c r="B59" s="2">
        <v>237712</v>
      </c>
      <c r="C59" s="2">
        <v>229223</v>
      </c>
    </row>
    <row r="60" spans="1:3">
      <c r="A60" s="1">
        <v>45962</v>
      </c>
      <c r="B60" s="2">
        <v>244530</v>
      </c>
      <c r="C60" s="2">
        <v>259078</v>
      </c>
    </row>
    <row r="61" spans="1:3">
      <c r="A61" s="1">
        <v>45992</v>
      </c>
      <c r="B61" s="2">
        <v>260685</v>
      </c>
      <c r="C61" s="2">
        <v>292858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4"/>
  <sheetViews>
    <sheetView tabSelected="1" workbookViewId="0">
      <selection activeCell="B2" sqref="B2"/>
    </sheetView>
  </sheetViews>
  <sheetFormatPr defaultRowHeight="13.5"/>
  <sheetData>
    <row r="1" spans="1:1" ht="90" customHeight="1">
      <c r="A1" cm="1">
        <f t="array" aca="1" ref="A1" ca="1">_xlfn._xlws.PY(0,1,seasonality_data[#All])</f>
        <v>0</v>
      </c>
    </row>
    <row r="2" spans="1:1" ht="35" customHeight="1">
      <c r="A2" t="e" cm="1" vm="2">
        <f t="array" aca="1" ref="A2" ca="1">_xlfn._xlws.PY(1,1)</f>
        <v>#VALUE!</v>
      </c>
    </row>
    <row r="3" spans="1:1" ht="35" customHeight="1"/>
    <row r="4" spans="1:1" ht="35" customHeight="1"/>
    <row r="5" spans="1:1" ht="35" customHeight="1"/>
    <row r="6" spans="1:1" ht="35" customHeight="1"/>
    <row r="7" spans="1:1" ht="35" customHeight="1"/>
    <row r="8" spans="1:1" ht="35" customHeight="1"/>
    <row r="9" spans="1:1" ht="90" customHeight="1">
      <c r="A9" t="e" cm="1" vm="3">
        <f t="array" aca="1" ref="A9" ca="1">_xlfn._xlws.PY(2,1)</f>
        <v>#VALUE!</v>
      </c>
    </row>
    <row r="10" spans="1:1" ht="90" customHeight="1">
      <c r="A10" t="str" cm="1" vm="4">
        <f t="array" aca="1" ref="A10" ca="1">_xlfn._xlws.PY(3,1)</f>
        <v>additive_sales</v>
      </c>
    </row>
    <row r="11" spans="1:1">
      <c r="A11" t="e" cm="1" vm="5">
        <f t="array" aca="1" ref="A11" ca="1">_xlfn._xlws.PY(4,1)</f>
        <v>#VALUE!</v>
      </c>
    </row>
    <row r="12" spans="1:1">
      <c r="A12" t="e" cm="1" vm="6">
        <f t="array" aca="1" ref="A12" ca="1">_xlfn._xlws.PY(5,1)</f>
        <v>#VALUE!</v>
      </c>
    </row>
    <row r="13" spans="1:1">
      <c r="A13" t="e" cm="1" vm="7">
        <f t="array" aca="1" ref="A13" ca="1">_xlfn._xlws.PY(6,1)</f>
        <v>#VALUE!</v>
      </c>
    </row>
    <row r="21" spans="1:1">
      <c r="A21" t="e" cm="1" vm="8">
        <f t="array" aca="1" ref="A21" ca="1">_xlfn._xlws.PY(7,1)</f>
        <v>#VALUE!</v>
      </c>
    </row>
    <row r="28" spans="1:1">
      <c r="A28" t="e" cm="1" vm="9">
        <f t="array" aca="1" ref="A28" ca="1">_xlfn._xlws.PY(8,1)</f>
        <v>#VALUE!</v>
      </c>
    </row>
    <row r="29" spans="1:1">
      <c r="A29" t="str" cm="1" vm="10">
        <f t="array" aca="1" ref="A29" ca="1">_xlfn._xlws.PY(9,1)</f>
        <v>multiplicative_sales</v>
      </c>
    </row>
    <row r="30" spans="1:1">
      <c r="A30" t="e" cm="1" vm="11">
        <f t="array" aca="1" ref="A30" ca="1">_xlfn._xlws.PY(4,1)</f>
        <v>#VALUE!</v>
      </c>
    </row>
    <row r="31" spans="1:1">
      <c r="A31" t="e" cm="1" vm="12">
        <f t="array" aca="1" ref="A31" ca="1">_xlfn._xlws.PY(10,1)</f>
        <v>#VALUE!</v>
      </c>
    </row>
    <row r="42" spans="1:1">
      <c r="A42" t="e" cm="1" vm="13">
        <f t="array" aca="1" ref="A42" ca="1">_xlfn._xlws.PY(7,1)</f>
        <v>#VALUE!</v>
      </c>
    </row>
    <row r="52" spans="1:2">
      <c r="A52" cm="1">
        <f t="array" aca="1" ref="A52:B54" ca="1">_xlfn._xlws.PY(8,0)</f>
        <v>0</v>
      </c>
      <c r="B52" t="str">
        <f ca="1"/>
        <v>mape</v>
      </c>
    </row>
    <row r="53" spans="1:2">
      <c r="A53" t="str">
        <f ca="1"/>
        <v>additive_seasonality</v>
      </c>
      <c r="B53">
        <f ca="1"/>
        <v>4.4517289577345567</v>
      </c>
    </row>
    <row r="54" spans="1:2">
      <c r="A54" t="str">
        <f ca="1"/>
        <v>multiplicative_seasonality</v>
      </c>
      <c r="B54">
        <f ca="1"/>
        <v>1.5662858968501245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seasonality_data</vt:lpstr>
      <vt:lpstr>python_code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2026-08-20T19:53:56Z</dcterms:modified>
</cp:coreProperties>
</file>
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13_ncr:2000001_{7480B3BC-03B3-4786-8D65-6C9D898B353D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market_volatility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 a="1"/>
  <c r="F3" i="1" s="1" a="1"/>
  <c r="F11" i="1" s="1" a="1"/>
  <c r="F20" i="1" s="1" a="1"/>
  <c r="F34" i="1" l="1" a="1"/>
  <c r="F52" i="1" l="1" a="1"/>
  <c r="F78" i="1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9">
    <bk>
      <extLst>
        <ext uri="{3e2802c4-a4d2-4d8b-9148-e3be6c30e623}">
          <xlrd:rvb i="12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cellMetadata count="1">
    <bk>
      <rc t="1" v="0"/>
    </bk>
  </cellMetadata>
  <valueMetadata count="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statsmodels.api as sm
from statsmodels.tsa.arima.model import ARIMA
market_df = xl(%P2%, headers=True)</code>
    </pythonScript>
    <pythonScript>
      <code>market_df["date"] = pd.to_datetime(market_df["date"])
market_df = market_df.set_index("date")
market_df.head()</code>
    </pythonScript>
    <pythonScript>
      <code>ts_df = market_df[["vol"]].dropna()
ts_df.head()</code>
    </pythonScript>
    <pythonScript>
      <code>ts_df["vol"].plot(figsize=(10, 5), title="Market Volatility Over Time")
plt.ylabel("Volatility")</code>
    </pythonScript>
    <pythonScript>
      <code>sm.graphics.tsa.plot_acf(ts_df["vol"], lags=40)
plt.title("ACF Plot of Market Volatility")</code>
    </pythonScript>
    <pythonScript>
      <code>sm.graphics.tsa.plot_pacf(ts_df["vol"], lags=40)
plt.title("PACF Plot of Market Volatility")</code>
    </pythonScript>
    <pythonScript>
      <code>model = ARIMA(ts_df["vol"], order=(1, 0, 5))
arima_model = model.fit()
pd.DataFrame({
    "coef": arima_model.params,
    "std_error": arima_model.bse,
    "z": arima_model.tvalues,
    "p_value": arima_model.pvalues
})</code>
    </pythonScript>
  </pythonScripts>
</python>
</file>

<file path=xl/sharedStrings.xml><?xml version="1.0" encoding="utf-8"?>
<sst xmlns="http://schemas.openxmlformats.org/spreadsheetml/2006/main" count="17" uniqueCount="13">
  <si>
    <t>date</t>
  </si>
  <si>
    <t>price</t>
  </si>
  <si>
    <t>daily_return</t>
  </si>
  <si>
    <t>vol</t>
  </si>
  <si>
    <t>Synthetic dataset for ARIMA volatility forecasting blog posts</t>
  </si>
  <si>
    <t>Column</t>
  </si>
  <si>
    <t>Description</t>
  </si>
  <si>
    <t>Business-day date from 2017-01-03 to 2018-12-31</t>
  </si>
  <si>
    <t>Simulated market index level</t>
  </si>
  <si>
    <t>Simulated log return</t>
  </si>
  <si>
    <t>Simulated annualized volatility series used for ACF/PACF and ARIMA</t>
  </si>
  <si>
    <t>Note</t>
  </si>
  <si>
    <t>Synthetic data created for teaching; no investment meaning.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</si>
</sst>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0.00"/>
    <numFmt numFmtId="166" formatCode="0.0000"/>
  </numFmts>
  <fonts count="3">
    <font>
      <sz val="11"/>
      <name val="Carlito"/>
    </font>
    <font>
      <b/>
      <sz val="11"/>
      <color rgb="FFFFFFFF"/>
      <name val="Carlito"/>
    </font>
    <font>
      <b/>
      <sz val="14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19</xdr:row>
      <xdr:rowOff>0</xdr:rowOff>
    </xdr:from>
    <xdr:to>
      <xdr:col>10</xdr:col>
      <xdr:colOff>521819</xdr:colOff>
      <xdr:row>31</xdr:row>
      <xdr:rowOff>118533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4D23A811-518A-B0D2-DE5F-9414DAC8281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arket_volatility!F20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0467" y="3297767"/>
          <a:ext cx="3929652" cy="2201333"/>
        </a:xfrm>
        <a:prstGeom prst="rect">
          <a:avLst/>
        </a:prstGeom>
      </xdr:spPr>
    </xdr:pic>
    <xdr:clientData/>
  </xdr:twoCellAnchor>
  <xdr:twoCellAnchor editAs="oneCell">
    <xdr:from>
      <xdr:col>4</xdr:col>
      <xdr:colOff>677333</xdr:colOff>
      <xdr:row>32</xdr:row>
      <xdr:rowOff>173566</xdr:rowOff>
    </xdr:from>
    <xdr:to>
      <xdr:col>10</xdr:col>
      <xdr:colOff>266699</xdr:colOff>
      <xdr:row>49</xdr:row>
      <xdr:rowOff>24117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35D28A7F-9481-2273-AE05-679A718EA28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arket_volatility!F34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0466" y="5727699"/>
          <a:ext cx="3674533" cy="280118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12</xdr:col>
      <xdr:colOff>431302</xdr:colOff>
      <xdr:row>73</xdr:row>
      <xdr:rowOff>140893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4435FA8D-DB25-4BBF-CAFD-EA54A7188D1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market_volatility!F52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0467" y="8851900"/>
          <a:ext cx="5193802" cy="395936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5">
    <v t="s"/>
    <v t="s">date</v>
    <v t="s">price</v>
    <v t="s">daily_return</v>
    <v t="s">vol</v>
    <v>0</v>
    <v t="r">0</v>
    <v>100.31</v>
    <v>3.14E-3</v>
    <v>0.1767</v>
    <v>1</v>
    <v t="r">1</v>
    <v>100.05</v>
    <v>-2.6199999999999999E-3</v>
    <v>0.1724</v>
    <v>2</v>
    <v t="r">2</v>
    <v>100.19</v>
    <v>1.33E-3</v>
    <v>0.1618</v>
    <v>3</v>
    <v t="r">3</v>
    <v>99.63</v>
    <v>-5.5199999999999997E-3</v>
    <v>0.16700000000000001</v>
    <v>4</v>
    <v t="r">4</v>
    <v>99.57</v>
    <v>-5.9999999999999995E-4</v>
    <v>0.18129999999999999</v>
    <v t="s">...</v>
    <v t="s">...</v>
    <v t="s">...</v>
    <v t="s">...</v>
    <v t="s">...</v>
    <v>515</v>
    <v t="r">5</v>
    <v>102.52</v>
    <v>4.5599999999999998E-3</v>
    <v>0.22570000000000001</v>
    <v>516</v>
    <v t="r">6</v>
    <v>103.97</v>
    <v>1.405E-2</v>
    <v>0.23080000000000001</v>
    <v>517</v>
    <v t="r">7</v>
    <v>104.73</v>
    <v>7.2100000000000003E-3</v>
    <v>0.2039</v>
    <v>518</v>
    <v t="r">8</v>
    <v>106.4</v>
    <v>1.5859999999999999E-2</v>
    <v>0.2054</v>
    <v>519</v>
    <v t="r">9</v>
    <v>106.62</v>
    <v>2.0400000000000001E-3</v>
    <v>0.1905</v>
  </a>
</arrayData>
</file>

<file path=xl/richData/rdrichvalue.xml><?xml version="1.0" encoding="utf-8"?>
<rvData xmlns="http://schemas.microsoft.com/office/spreadsheetml/2017/richdata" count="16">
  <rv s="0">
    <fb>42738</fb>
    <v>2</v>
  </rv>
  <rv s="0">
    <fb>42739</fb>
    <v>2</v>
  </rv>
  <rv s="0">
    <fb>42740</fb>
    <v>2</v>
  </rv>
  <rv s="0">
    <fb>42741</fb>
    <v>2</v>
  </rv>
  <rv s="0">
    <fb>42744</fb>
    <v>2</v>
  </rv>
  <rv s="0">
    <fb>43459</fb>
    <v>2</v>
  </rv>
  <rv s="0">
    <fb>43460</fb>
    <v>2</v>
  </rv>
  <rv s="0">
    <fb>43461</fb>
    <v>2</v>
  </rv>
  <rv s="0">
    <fb>43462</fb>
    <v>2</v>
  </rv>
  <rv s="0">
    <fb>43465</fb>
    <v>2</v>
  </rv>
  <rv s="1">
    <v>0</v>
  </rv>
  <rv s="2">
    <v>DataFrame</v>
    <v>1</v>
    <v>10</v>
  </rv>
  <rv s="3">
    <v>&lt;class 'pandas.core.frame.DataFrame'&gt;</v>
    <v>DataFrame</v>
    <v xml:space="preserve">          date   price  daily_return     vol
0   2017-01-03  100.31       0.00314  0.1767
1   2017-01-04  100.05      -0.00262  0.1724
2   2017-01-05  100.19       0.00133  0.1618
3   2017-01-06   99.63      -0.00552  0.1670
4   2017-01-09   99.57     ...</v>
    <v>11</v>
    <v>3</v>
  </rv>
  <rv s="4">
    <v>0</v>
    <v>9</v>
    <v>Image generated by Python</v>
  </rv>
  <rv s="4">
    <v>1</v>
    <v>9</v>
    <v>Image generated by Python</v>
  </rv>
  <rv s="4">
    <v>2</v>
    <v>9</v>
    <v>Image generated by Python</v>
  </rv>
</rvData>
</file>

<file path=xl/richData/rdrichvaluestructure.xml><?xml version="1.0" encoding="utf-8"?>
<rvStructures xmlns="http://schemas.microsoft.com/office/spreadsheetml/2017/richdata" count="5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4">
    <spb s="0">
      <v>520</v>
      <v>4</v>
      <v>DataFrame</v>
      <v>arrayPreview</v>
      <v>1</v>
    </spb>
    <spb s="1">
      <v>0</v>
    </spb>
    <spb s="2">
      <v>1</v>
    </spb>
    <spb s="3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m/d/yyyy"/>
    </x:dxf>
  </dxfs>
  <richStyles>
    <rSty dxfid="0"/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rketVolatility" displayName="MarketVolatility" ref="A1:D521">
  <tableColumns count="4">
    <tableColumn id="1" xr3:uid="{00000000-0010-0000-0000-000001000000}" name="date"/>
    <tableColumn id="2" xr3:uid="{00000000-0010-0000-0000-000002000000}" name="price"/>
    <tableColumn id="3" xr3:uid="{00000000-0010-0000-0000-000003000000}" name="daily_return"/>
    <tableColumn id="4" xr3:uid="{00000000-0010-0000-0000-000004000000}" name="v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1"/>
  <sheetViews>
    <sheetView tabSelected="1" workbookViewId="0"/>
  </sheetViews>
  <sheetFormatPr defaultRowHeight="13.7"/>
  <cols>
    <col min="1" max="1" width="9.94140625" bestFit="1" customWidth="1"/>
    <col min="2" max="2" width="7.21875" bestFit="1" customWidth="1"/>
    <col min="3" max="3" width="11.1640625" bestFit="1" customWidth="1"/>
    <col min="4" max="4" width="6.21875" bestFit="1" customWidth="1"/>
    <col min="6" max="6" width="9.1640625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F1" t="e" cm="1" vm="1">
        <f t="array" ref="F1">_xlfn._xlws.PY(0,1,MarketVolatility[#All])</f>
        <v>#VALUE!</v>
      </c>
    </row>
    <row r="2" spans="1:9">
      <c r="A2" s="3">
        <v>42738</v>
      </c>
      <c r="B2" s="4">
        <v>100.31</v>
      </c>
      <c r="C2" s="5">
        <v>3.14E-3</v>
      </c>
      <c r="D2" s="5">
        <v>0.1767</v>
      </c>
    </row>
    <row r="3" spans="1:9">
      <c r="A3" s="3">
        <v>42739</v>
      </c>
      <c r="B3" s="4">
        <v>100.05</v>
      </c>
      <c r="C3" s="5">
        <v>-2.6199999999999999E-3</v>
      </c>
      <c r="D3" s="5">
        <v>0.1724</v>
      </c>
      <c r="F3" t="str" cm="1">
        <f t="array" ref="F3:I9">_xlfn._xlws.PY(1,0)</f>
        <v/>
      </c>
      <c r="G3" t="str">
        <v>price</v>
      </c>
      <c r="H3" t="str">
        <v>daily_return</v>
      </c>
      <c r="I3" t="str">
        <v>vol</v>
      </c>
    </row>
    <row r="4" spans="1:9">
      <c r="A4" s="3">
        <v>42740</v>
      </c>
      <c r="B4" s="4">
        <v>100.19</v>
      </c>
      <c r="C4" s="5">
        <v>1.33E-3</v>
      </c>
      <c r="D4" s="5">
        <v>0.1618</v>
      </c>
      <c r="F4" t="str">
        <v>date</v>
      </c>
      <c r="G4" t="str">
        <v/>
      </c>
      <c r="H4" t="str">
        <v/>
      </c>
      <c r="I4" t="str">
        <v/>
      </c>
    </row>
    <row r="5" spans="1:9">
      <c r="A5" s="3">
        <v>42741</v>
      </c>
      <c r="B5" s="4">
        <v>99.63</v>
      </c>
      <c r="C5" s="5">
        <v>-5.5199999999999997E-3</v>
      </c>
      <c r="D5" s="5">
        <v>0.16700000000000001</v>
      </c>
      <c r="F5" vm="2">
        <v>42738</v>
      </c>
      <c r="G5">
        <v>100.31</v>
      </c>
      <c r="H5">
        <v>3.14E-3</v>
      </c>
      <c r="I5">
        <v>0.1767</v>
      </c>
    </row>
    <row r="6" spans="1:9">
      <c r="A6" s="3">
        <v>42744</v>
      </c>
      <c r="B6" s="4">
        <v>99.57</v>
      </c>
      <c r="C6" s="5">
        <v>-5.9999999999999995E-4</v>
      </c>
      <c r="D6" s="5">
        <v>0.18129999999999999</v>
      </c>
      <c r="F6" vm="3">
        <v>42739</v>
      </c>
      <c r="G6">
        <v>100.05</v>
      </c>
      <c r="H6">
        <v>-2.6199999999999999E-3</v>
      </c>
      <c r="I6">
        <v>0.1724</v>
      </c>
    </row>
    <row r="7" spans="1:9">
      <c r="A7" s="3">
        <v>42745</v>
      </c>
      <c r="B7" s="4">
        <v>100.42</v>
      </c>
      <c r="C7" s="5">
        <v>8.4799999999999997E-3</v>
      </c>
      <c r="D7" s="5">
        <v>0.20949999999999999</v>
      </c>
      <c r="F7" vm="4">
        <v>42740</v>
      </c>
      <c r="G7">
        <v>100.19</v>
      </c>
      <c r="H7">
        <v>1.33E-3</v>
      </c>
      <c r="I7">
        <v>0.1618</v>
      </c>
    </row>
    <row r="8" spans="1:9">
      <c r="A8" s="3">
        <v>42746</v>
      </c>
      <c r="B8" s="4">
        <v>100.15</v>
      </c>
      <c r="C8" s="5">
        <v>-2.7299999999999998E-3</v>
      </c>
      <c r="D8" s="5">
        <v>0.2412</v>
      </c>
      <c r="F8" vm="5">
        <v>42741</v>
      </c>
      <c r="G8">
        <v>99.63</v>
      </c>
      <c r="H8">
        <v>-5.5199999999999997E-3</v>
      </c>
      <c r="I8">
        <v>0.16700000000000001</v>
      </c>
    </row>
    <row r="9" spans="1:9">
      <c r="A9" s="3">
        <v>42747</v>
      </c>
      <c r="B9" s="4">
        <v>99.43</v>
      </c>
      <c r="C9" s="5">
        <v>-7.2199999999999999E-3</v>
      </c>
      <c r="D9" s="5">
        <v>0.23330000000000001</v>
      </c>
      <c r="F9" vm="6">
        <v>42744</v>
      </c>
      <c r="G9">
        <v>99.57</v>
      </c>
      <c r="H9">
        <v>-5.9999999999999995E-4</v>
      </c>
      <c r="I9">
        <v>0.18129999999999999</v>
      </c>
    </row>
    <row r="10" spans="1:9">
      <c r="A10" s="3">
        <v>42748</v>
      </c>
      <c r="B10" s="4">
        <v>100.59</v>
      </c>
      <c r="C10" s="5">
        <v>1.166E-2</v>
      </c>
      <c r="D10" s="5">
        <v>0.22800000000000001</v>
      </c>
    </row>
    <row r="11" spans="1:9">
      <c r="A11" s="3">
        <v>42751</v>
      </c>
      <c r="B11" s="4">
        <v>101.48</v>
      </c>
      <c r="C11" s="5">
        <v>8.77E-3</v>
      </c>
      <c r="D11" s="5">
        <v>0.2205</v>
      </c>
      <c r="F11" t="str" cm="1">
        <f t="array" ref="F11:G17">_xlfn._xlws.PY(2,0)</f>
        <v/>
      </c>
      <c r="G11" t="str">
        <v>vol</v>
      </c>
    </row>
    <row r="12" spans="1:9">
      <c r="A12" s="3">
        <v>42752</v>
      </c>
      <c r="B12" s="4">
        <v>102.74</v>
      </c>
      <c r="C12" s="5">
        <v>1.235E-2</v>
      </c>
      <c r="D12" s="5">
        <v>0.20860000000000001</v>
      </c>
      <c r="F12" t="str">
        <v>date</v>
      </c>
      <c r="G12" t="str">
        <v/>
      </c>
    </row>
    <row r="13" spans="1:9">
      <c r="A13" s="3">
        <v>42753</v>
      </c>
      <c r="B13" s="4">
        <v>104.81</v>
      </c>
      <c r="C13" s="5">
        <v>1.992E-2</v>
      </c>
      <c r="D13" s="5">
        <v>0.19159999999999999</v>
      </c>
      <c r="F13" vm="2">
        <v>42738</v>
      </c>
      <c r="G13">
        <v>0.1767</v>
      </c>
    </row>
    <row r="14" spans="1:9">
      <c r="A14" s="3">
        <v>42754</v>
      </c>
      <c r="B14" s="4">
        <v>104.23</v>
      </c>
      <c r="C14" s="5">
        <v>-5.5100000000000001E-3</v>
      </c>
      <c r="D14" s="5">
        <v>0.19900000000000001</v>
      </c>
      <c r="F14" vm="3">
        <v>42739</v>
      </c>
      <c r="G14">
        <v>0.1724</v>
      </c>
    </row>
    <row r="15" spans="1:9">
      <c r="A15" s="3">
        <v>42755</v>
      </c>
      <c r="B15" s="4">
        <v>104.02</v>
      </c>
      <c r="C15" s="5">
        <v>-2.0699999999999998E-3</v>
      </c>
      <c r="D15" s="5">
        <v>0.1709</v>
      </c>
      <c r="F15" vm="4">
        <v>42740</v>
      </c>
      <c r="G15">
        <v>0.1618</v>
      </c>
    </row>
    <row r="16" spans="1:9">
      <c r="A16" s="3">
        <v>42758</v>
      </c>
      <c r="B16" s="4">
        <v>104.81</v>
      </c>
      <c r="C16" s="5">
        <v>7.6499999999999997E-3</v>
      </c>
      <c r="D16" s="5">
        <v>0.22189999999999999</v>
      </c>
      <c r="F16" vm="5">
        <v>42741</v>
      </c>
      <c r="G16">
        <v>0.16700000000000001</v>
      </c>
    </row>
    <row r="17" spans="1:7">
      <c r="A17" s="3">
        <v>42759</v>
      </c>
      <c r="B17" s="4">
        <v>104.26</v>
      </c>
      <c r="C17" s="5">
        <v>-5.2599999999999999E-3</v>
      </c>
      <c r="D17" s="5">
        <v>0.19869999999999999</v>
      </c>
      <c r="F17" vm="6">
        <v>42744</v>
      </c>
      <c r="G17">
        <v>0.18129999999999999</v>
      </c>
    </row>
    <row r="18" spans="1:7">
      <c r="A18" s="3">
        <v>42760</v>
      </c>
      <c r="B18" s="4">
        <v>105.65</v>
      </c>
      <c r="C18" s="5">
        <v>1.319E-2</v>
      </c>
      <c r="D18" s="5">
        <v>0.1681</v>
      </c>
    </row>
    <row r="19" spans="1:7">
      <c r="A19" s="3">
        <v>42761</v>
      </c>
      <c r="B19" s="4">
        <v>105.47</v>
      </c>
      <c r="C19" s="5">
        <v>-1.66E-3</v>
      </c>
      <c r="D19" s="5">
        <v>0.15920000000000001</v>
      </c>
    </row>
    <row r="20" spans="1:7">
      <c r="A20" s="3">
        <v>42762</v>
      </c>
      <c r="B20" s="4">
        <v>105.28</v>
      </c>
      <c r="C20" s="5">
        <v>-1.83E-3</v>
      </c>
      <c r="D20" s="5">
        <v>0.18310000000000001</v>
      </c>
      <c r="F20" t="e" cm="1" vm="7">
        <f t="array" ref="F20">_xlfn._xlws.PY(3,0)</f>
        <v>#VALUE!</v>
      </c>
    </row>
    <row r="21" spans="1:7">
      <c r="A21" s="3">
        <v>42765</v>
      </c>
      <c r="B21" s="4">
        <v>105.81</v>
      </c>
      <c r="C21" s="5">
        <v>5.0499999999999998E-3</v>
      </c>
      <c r="D21" s="5">
        <v>0.14929999999999999</v>
      </c>
    </row>
    <row r="22" spans="1:7">
      <c r="A22" s="3">
        <v>42766</v>
      </c>
      <c r="B22" s="4">
        <v>104.07</v>
      </c>
      <c r="C22" s="5">
        <v>-1.6590000000000001E-2</v>
      </c>
      <c r="D22" s="5">
        <v>0.18190000000000001</v>
      </c>
    </row>
    <row r="23" spans="1:7">
      <c r="A23" s="3">
        <v>42767</v>
      </c>
      <c r="B23" s="4">
        <v>103.53</v>
      </c>
      <c r="C23" s="5">
        <v>-5.2599999999999999E-3</v>
      </c>
      <c r="D23" s="5">
        <v>0.1951</v>
      </c>
    </row>
    <row r="24" spans="1:7">
      <c r="A24" s="3">
        <v>42768</v>
      </c>
      <c r="B24" s="4">
        <v>102.27</v>
      </c>
      <c r="C24" s="5">
        <v>-1.2189999999999999E-2</v>
      </c>
      <c r="D24" s="5">
        <v>0.18870000000000001</v>
      </c>
    </row>
    <row r="25" spans="1:7">
      <c r="A25" s="3">
        <v>42769</v>
      </c>
      <c r="B25" s="4">
        <v>102.26</v>
      </c>
      <c r="C25" s="5">
        <v>-1.2E-4</v>
      </c>
      <c r="D25" s="5">
        <v>0.24310000000000001</v>
      </c>
    </row>
    <row r="26" spans="1:7">
      <c r="A26" s="3">
        <v>42772</v>
      </c>
      <c r="B26" s="4">
        <v>103.79</v>
      </c>
      <c r="C26" s="5">
        <v>1.487E-2</v>
      </c>
      <c r="D26" s="5">
        <v>0.2077</v>
      </c>
    </row>
    <row r="27" spans="1:7">
      <c r="A27" s="3">
        <v>42773</v>
      </c>
      <c r="B27" s="4">
        <v>104.82</v>
      </c>
      <c r="C27" s="5">
        <v>9.8799999999999999E-3</v>
      </c>
      <c r="D27" s="5">
        <v>0.1961</v>
      </c>
    </row>
    <row r="28" spans="1:7">
      <c r="A28" s="3">
        <v>42774</v>
      </c>
      <c r="B28" s="4">
        <v>102.3</v>
      </c>
      <c r="C28" s="5">
        <v>-2.4369999999999999E-2</v>
      </c>
      <c r="D28" s="5">
        <v>0.1928</v>
      </c>
    </row>
    <row r="29" spans="1:7">
      <c r="A29" s="3">
        <v>42775</v>
      </c>
      <c r="B29" s="4">
        <v>101.51</v>
      </c>
      <c r="C29" s="5">
        <v>-7.7799999999999996E-3</v>
      </c>
      <c r="D29" s="5">
        <v>0.2001</v>
      </c>
    </row>
    <row r="30" spans="1:7">
      <c r="A30" s="3">
        <v>42776</v>
      </c>
      <c r="B30" s="4">
        <v>103.04</v>
      </c>
      <c r="C30" s="5">
        <v>1.502E-2</v>
      </c>
      <c r="D30" s="5">
        <v>0.24260000000000001</v>
      </c>
    </row>
    <row r="31" spans="1:7">
      <c r="A31" s="3">
        <v>42779</v>
      </c>
      <c r="B31" s="4">
        <v>102.66</v>
      </c>
      <c r="C31" s="5">
        <v>-3.7399999999999998E-3</v>
      </c>
      <c r="D31" s="5">
        <v>0.2107</v>
      </c>
    </row>
    <row r="32" spans="1:7">
      <c r="A32" s="3">
        <v>42780</v>
      </c>
      <c r="B32" s="4">
        <v>99.8</v>
      </c>
      <c r="C32" s="5">
        <v>-2.827E-2</v>
      </c>
      <c r="D32" s="5">
        <v>0.19819999999999999</v>
      </c>
    </row>
    <row r="33" spans="1:6">
      <c r="A33" s="3">
        <v>42781</v>
      </c>
      <c r="B33" s="4">
        <v>98.13</v>
      </c>
      <c r="C33" s="5">
        <v>-1.6820000000000002E-2</v>
      </c>
      <c r="D33" s="5">
        <v>0.19839999999999999</v>
      </c>
    </row>
    <row r="34" spans="1:6">
      <c r="A34" s="3">
        <v>42782</v>
      </c>
      <c r="B34" s="4">
        <v>98.62</v>
      </c>
      <c r="C34" s="5">
        <v>4.9899999999999996E-3</v>
      </c>
      <c r="D34" s="5">
        <v>0.17580000000000001</v>
      </c>
      <c r="F34" t="e" cm="1" vm="8">
        <f t="array" ref="F34">_xlfn._xlws.PY(4,0)</f>
        <v>#VALUE!</v>
      </c>
    </row>
    <row r="35" spans="1:6">
      <c r="A35" s="3">
        <v>42783</v>
      </c>
      <c r="B35" s="4">
        <v>97.2</v>
      </c>
      <c r="C35" s="5">
        <v>-1.455E-2</v>
      </c>
      <c r="D35" s="5">
        <v>0.18360000000000001</v>
      </c>
    </row>
    <row r="36" spans="1:6">
      <c r="A36" s="3">
        <v>42786</v>
      </c>
      <c r="B36" s="4">
        <v>96.97</v>
      </c>
      <c r="C36" s="5">
        <v>-2.3600000000000001E-3</v>
      </c>
      <c r="D36" s="5">
        <v>0.20860000000000001</v>
      </c>
    </row>
    <row r="37" spans="1:6">
      <c r="A37" s="3">
        <v>42787</v>
      </c>
      <c r="B37" s="4">
        <v>93.74</v>
      </c>
      <c r="C37" s="5">
        <v>-3.3860000000000001E-2</v>
      </c>
      <c r="D37" s="5">
        <v>0.25929999999999997</v>
      </c>
    </row>
    <row r="38" spans="1:6">
      <c r="A38" s="3">
        <v>42788</v>
      </c>
      <c r="B38" s="4">
        <v>92.32</v>
      </c>
      <c r="C38" s="5">
        <v>-1.5339999999999999E-2</v>
      </c>
      <c r="D38" s="5">
        <v>0.24490000000000001</v>
      </c>
    </row>
    <row r="39" spans="1:6">
      <c r="A39" s="3">
        <v>42789</v>
      </c>
      <c r="B39" s="4">
        <v>92.11</v>
      </c>
      <c r="C39" s="5">
        <v>-2.1800000000000001E-3</v>
      </c>
      <c r="D39" s="5">
        <v>0.21890000000000001</v>
      </c>
    </row>
    <row r="40" spans="1:6">
      <c r="A40" s="3">
        <v>42790</v>
      </c>
      <c r="B40" s="4">
        <v>90.03</v>
      </c>
      <c r="C40" s="5">
        <v>-2.2859999999999998E-2</v>
      </c>
      <c r="D40" s="5">
        <v>0.2271</v>
      </c>
    </row>
    <row r="41" spans="1:6">
      <c r="A41" s="3">
        <v>42793</v>
      </c>
      <c r="B41" s="4">
        <v>91.21</v>
      </c>
      <c r="C41" s="5">
        <v>1.303E-2</v>
      </c>
      <c r="D41" s="5">
        <v>0.23069999999999999</v>
      </c>
    </row>
    <row r="42" spans="1:6">
      <c r="A42" s="3">
        <v>42794</v>
      </c>
      <c r="B42" s="4">
        <v>90.47</v>
      </c>
      <c r="C42" s="5">
        <v>-8.1700000000000002E-3</v>
      </c>
      <c r="D42" s="5">
        <v>0.22650000000000001</v>
      </c>
    </row>
    <row r="43" spans="1:6">
      <c r="A43" s="3">
        <v>42795</v>
      </c>
      <c r="B43" s="4">
        <v>88.89</v>
      </c>
      <c r="C43" s="5">
        <v>-1.7659999999999999E-2</v>
      </c>
      <c r="D43" s="5">
        <v>0.2228</v>
      </c>
    </row>
    <row r="44" spans="1:6">
      <c r="A44" s="3">
        <v>42796</v>
      </c>
      <c r="B44" s="4">
        <v>89.97</v>
      </c>
      <c r="C44" s="5">
        <v>1.2109999999999999E-2</v>
      </c>
      <c r="D44" s="5">
        <v>0.2286</v>
      </c>
    </row>
    <row r="45" spans="1:6">
      <c r="A45" s="3">
        <v>42797</v>
      </c>
      <c r="B45" s="4">
        <v>89.62</v>
      </c>
      <c r="C45" s="5">
        <v>-3.9199999999999999E-3</v>
      </c>
      <c r="D45" s="5">
        <v>0.23119999999999999</v>
      </c>
    </row>
    <row r="46" spans="1:6">
      <c r="A46" s="3">
        <v>42800</v>
      </c>
      <c r="B46" s="4">
        <v>90.07</v>
      </c>
      <c r="C46" s="5">
        <v>5.0499999999999998E-3</v>
      </c>
      <c r="D46" s="5">
        <v>0.17349999999999999</v>
      </c>
    </row>
    <row r="47" spans="1:6">
      <c r="A47" s="3">
        <v>42801</v>
      </c>
      <c r="B47" s="4">
        <v>91.83</v>
      </c>
      <c r="C47" s="5">
        <v>1.932E-2</v>
      </c>
      <c r="D47" s="5">
        <v>0.17660000000000001</v>
      </c>
    </row>
    <row r="48" spans="1:6">
      <c r="A48" s="3">
        <v>42802</v>
      </c>
      <c r="B48" s="4">
        <v>92.99</v>
      </c>
      <c r="C48" s="5">
        <v>1.2529999999999999E-2</v>
      </c>
      <c r="D48" s="5">
        <v>0.15190000000000001</v>
      </c>
    </row>
    <row r="49" spans="1:6">
      <c r="A49" s="3">
        <v>42803</v>
      </c>
      <c r="B49" s="4">
        <v>92.29</v>
      </c>
      <c r="C49" s="5">
        <v>-7.5300000000000002E-3</v>
      </c>
      <c r="D49" s="5">
        <v>0.19639999999999999</v>
      </c>
    </row>
    <row r="50" spans="1:6">
      <c r="A50" s="3">
        <v>42804</v>
      </c>
      <c r="B50" s="4">
        <v>95.11</v>
      </c>
      <c r="C50" s="5">
        <v>3.0120000000000001E-2</v>
      </c>
      <c r="D50" s="5">
        <v>0.21260000000000001</v>
      </c>
    </row>
    <row r="51" spans="1:6">
      <c r="A51" s="3">
        <v>42807</v>
      </c>
      <c r="B51" s="4">
        <v>96.9</v>
      </c>
      <c r="C51" s="5">
        <v>1.8630000000000001E-2</v>
      </c>
      <c r="D51" s="5">
        <v>0.19420000000000001</v>
      </c>
    </row>
    <row r="52" spans="1:6">
      <c r="A52" s="3">
        <v>42808</v>
      </c>
      <c r="B52" s="4">
        <v>95.58</v>
      </c>
      <c r="C52" s="5">
        <v>-1.3679999999999999E-2</v>
      </c>
      <c r="D52" s="5">
        <v>0.18640000000000001</v>
      </c>
      <c r="F52" t="e" cm="1" vm="9">
        <f t="array" ref="F52">_xlfn._xlws.PY(5,0)</f>
        <v>#VALUE!</v>
      </c>
    </row>
    <row r="53" spans="1:6">
      <c r="A53" s="3">
        <v>42809</v>
      </c>
      <c r="B53" s="4">
        <v>96.7</v>
      </c>
      <c r="C53" s="5">
        <v>1.162E-2</v>
      </c>
      <c r="D53" s="5">
        <v>0.1694</v>
      </c>
    </row>
    <row r="54" spans="1:6">
      <c r="A54" s="3">
        <v>42810</v>
      </c>
      <c r="B54" s="4">
        <v>96.4</v>
      </c>
      <c r="C54" s="5">
        <v>-3.14E-3</v>
      </c>
      <c r="D54" s="5">
        <v>0.21690000000000001</v>
      </c>
    </row>
    <row r="55" spans="1:6">
      <c r="A55" s="3">
        <v>42811</v>
      </c>
      <c r="B55" s="4">
        <v>95.52</v>
      </c>
      <c r="C55" s="5">
        <v>-9.1699999999999993E-3</v>
      </c>
      <c r="D55" s="5">
        <v>0.22170000000000001</v>
      </c>
    </row>
    <row r="56" spans="1:6">
      <c r="A56" s="3">
        <v>42814</v>
      </c>
      <c r="B56" s="4">
        <v>97.75</v>
      </c>
      <c r="C56" s="5">
        <v>2.3109999999999999E-2</v>
      </c>
      <c r="D56" s="5">
        <v>0.21909999999999999</v>
      </c>
    </row>
    <row r="57" spans="1:6">
      <c r="A57" s="3">
        <v>42815</v>
      </c>
      <c r="B57" s="4">
        <v>98.38</v>
      </c>
      <c r="C57" s="5">
        <v>6.4000000000000003E-3</v>
      </c>
      <c r="D57" s="5">
        <v>0.17949999999999999</v>
      </c>
    </row>
    <row r="58" spans="1:6">
      <c r="A58" s="3">
        <v>42816</v>
      </c>
      <c r="B58" s="4">
        <v>98.38</v>
      </c>
      <c r="C58" s="5">
        <v>5.0000000000000002E-5</v>
      </c>
      <c r="D58" s="5">
        <v>0.14099999999999999</v>
      </c>
    </row>
    <row r="59" spans="1:6">
      <c r="A59" s="3">
        <v>42817</v>
      </c>
      <c r="B59" s="4">
        <v>98.67</v>
      </c>
      <c r="C59" s="5">
        <v>2.8900000000000002E-3</v>
      </c>
      <c r="D59" s="5">
        <v>0.20119999999999999</v>
      </c>
    </row>
    <row r="60" spans="1:6">
      <c r="A60" s="3">
        <v>42818</v>
      </c>
      <c r="B60" s="4">
        <v>100.66</v>
      </c>
      <c r="C60" s="5">
        <v>1.9949999999999999E-2</v>
      </c>
      <c r="D60" s="5">
        <v>0.1953</v>
      </c>
    </row>
    <row r="61" spans="1:6">
      <c r="A61" s="3">
        <v>42821</v>
      </c>
      <c r="B61" s="4">
        <v>99.84</v>
      </c>
      <c r="C61" s="5">
        <v>-8.2100000000000003E-3</v>
      </c>
      <c r="D61" s="5">
        <v>0.17710000000000001</v>
      </c>
    </row>
    <row r="62" spans="1:6">
      <c r="A62" s="3">
        <v>42822</v>
      </c>
      <c r="B62" s="4">
        <v>100.45</v>
      </c>
      <c r="C62" s="5">
        <v>6.13E-3</v>
      </c>
      <c r="D62" s="5">
        <v>0.15659999999999999</v>
      </c>
    </row>
    <row r="63" spans="1:6">
      <c r="A63" s="3">
        <v>42823</v>
      </c>
      <c r="B63" s="4">
        <v>99.66</v>
      </c>
      <c r="C63" s="5">
        <v>-7.9399999999999991E-3</v>
      </c>
      <c r="D63" s="5">
        <v>0.18129999999999999</v>
      </c>
    </row>
    <row r="64" spans="1:6">
      <c r="A64" s="3">
        <v>42824</v>
      </c>
      <c r="B64" s="4">
        <v>98.29</v>
      </c>
      <c r="C64" s="5">
        <v>-1.3780000000000001E-2</v>
      </c>
      <c r="D64" s="5">
        <v>0.18390000000000001</v>
      </c>
    </row>
    <row r="65" spans="1:10">
      <c r="A65" s="3">
        <v>42825</v>
      </c>
      <c r="B65" s="4">
        <v>97.16</v>
      </c>
      <c r="C65" s="5">
        <v>-1.155E-2</v>
      </c>
      <c r="D65" s="5">
        <v>0.17910000000000001</v>
      </c>
    </row>
    <row r="66" spans="1:10">
      <c r="A66" s="3">
        <v>42828</v>
      </c>
      <c r="B66" s="4">
        <v>96.58</v>
      </c>
      <c r="C66" s="5">
        <v>-5.9899999999999997E-3</v>
      </c>
      <c r="D66" s="5">
        <v>0.18149999999999999</v>
      </c>
    </row>
    <row r="67" spans="1:10">
      <c r="A67" s="3">
        <v>42829</v>
      </c>
      <c r="B67" s="4">
        <v>97.67</v>
      </c>
      <c r="C67" s="5">
        <v>1.116E-2</v>
      </c>
      <c r="D67" s="5">
        <v>0.15840000000000001</v>
      </c>
    </row>
    <row r="68" spans="1:10">
      <c r="A68" s="3">
        <v>42830</v>
      </c>
      <c r="B68" s="4">
        <v>99.32</v>
      </c>
      <c r="C68" s="5">
        <v>1.6760000000000001E-2</v>
      </c>
      <c r="D68" s="5">
        <v>0.1835</v>
      </c>
    </row>
    <row r="69" spans="1:10">
      <c r="A69" s="3">
        <v>42831</v>
      </c>
      <c r="B69" s="4">
        <v>99.67</v>
      </c>
      <c r="C69" s="5">
        <v>3.5799999999999998E-3</v>
      </c>
      <c r="D69" s="5">
        <v>0.16889999999999999</v>
      </c>
    </row>
    <row r="70" spans="1:10">
      <c r="A70" s="3">
        <v>42832</v>
      </c>
      <c r="B70" s="4">
        <v>101.5</v>
      </c>
      <c r="C70" s="5">
        <v>1.8200000000000001E-2</v>
      </c>
      <c r="D70" s="5">
        <v>0.17630000000000001</v>
      </c>
    </row>
    <row r="71" spans="1:10">
      <c r="A71" s="3">
        <v>42835</v>
      </c>
      <c r="B71" s="4">
        <v>102.51</v>
      </c>
      <c r="C71" s="5">
        <v>9.8399999999999998E-3</v>
      </c>
      <c r="D71" s="5">
        <v>0.19170000000000001</v>
      </c>
    </row>
    <row r="72" spans="1:10">
      <c r="A72" s="3">
        <v>42836</v>
      </c>
      <c r="B72" s="4">
        <v>103.37</v>
      </c>
      <c r="C72" s="5">
        <v>8.3700000000000007E-3</v>
      </c>
      <c r="D72" s="5">
        <v>0.21060000000000001</v>
      </c>
    </row>
    <row r="73" spans="1:10">
      <c r="A73" s="3">
        <v>42837</v>
      </c>
      <c r="B73" s="4">
        <v>104.13</v>
      </c>
      <c r="C73" s="5">
        <v>7.3499999999999998E-3</v>
      </c>
      <c r="D73" s="5">
        <v>0.22770000000000001</v>
      </c>
    </row>
    <row r="74" spans="1:10">
      <c r="A74" s="3">
        <v>42838</v>
      </c>
      <c r="B74" s="4">
        <v>104.14</v>
      </c>
      <c r="C74" s="5">
        <v>5.0000000000000002E-5</v>
      </c>
      <c r="D74" s="5">
        <v>0.21049999999999999</v>
      </c>
    </row>
    <row r="75" spans="1:10">
      <c r="A75" s="3">
        <v>42839</v>
      </c>
      <c r="B75" s="4">
        <v>105</v>
      </c>
      <c r="C75" s="5">
        <v>8.2500000000000004E-3</v>
      </c>
      <c r="D75" s="5">
        <v>0.2215</v>
      </c>
    </row>
    <row r="76" spans="1:10">
      <c r="A76" s="3">
        <v>42842</v>
      </c>
      <c r="B76" s="4">
        <v>104.17</v>
      </c>
      <c r="C76" s="5">
        <v>-7.9100000000000004E-3</v>
      </c>
      <c r="D76" s="5">
        <v>0.23380000000000001</v>
      </c>
    </row>
    <row r="77" spans="1:10">
      <c r="A77" s="3">
        <v>42843</v>
      </c>
      <c r="B77" s="4">
        <v>103.61</v>
      </c>
      <c r="C77" s="5">
        <v>-5.45E-3</v>
      </c>
      <c r="D77" s="5">
        <v>0.2142</v>
      </c>
    </row>
    <row r="78" spans="1:10">
      <c r="A78" s="3">
        <v>42844</v>
      </c>
      <c r="B78" s="4">
        <v>103.09</v>
      </c>
      <c r="C78" s="5">
        <v>-5.0200000000000002E-3</v>
      </c>
      <c r="D78" s="5">
        <v>0.20979999999999999</v>
      </c>
      <c r="F78" t="str" cm="1">
        <f t="array" ref="F78:J86">_xlfn._xlws.PY(6,0)</f>
        <v/>
      </c>
      <c r="G78" t="str">
        <v>coef</v>
      </c>
      <c r="H78" t="str">
        <v>std_error</v>
      </c>
      <c r="I78" t="str">
        <v>z</v>
      </c>
      <c r="J78" t="str">
        <v>p_value</v>
      </c>
    </row>
    <row r="79" spans="1:10">
      <c r="A79" s="3">
        <v>42845</v>
      </c>
      <c r="B79" s="4">
        <v>102.78</v>
      </c>
      <c r="C79" s="5">
        <v>-2.99E-3</v>
      </c>
      <c r="D79" s="5">
        <v>0.23</v>
      </c>
      <c r="F79" t="str">
        <v>const</v>
      </c>
      <c r="G79">
        <v>0.1949327571836228</v>
      </c>
      <c r="H79">
        <v>3.4662336585612181E-3</v>
      </c>
      <c r="I79">
        <v>56.237627461195586</v>
      </c>
      <c r="J79">
        <v>0</v>
      </c>
    </row>
    <row r="80" spans="1:10">
      <c r="A80" s="3">
        <v>42846</v>
      </c>
      <c r="B80" s="4">
        <v>104.16</v>
      </c>
      <c r="C80" s="5">
        <v>1.329E-2</v>
      </c>
      <c r="D80" s="5">
        <v>0.18940000000000001</v>
      </c>
      <c r="F80" t="str">
        <v>ar.L1</v>
      </c>
      <c r="G80">
        <v>0.70075746835623665</v>
      </c>
      <c r="H80">
        <v>0.10121806405900315</v>
      </c>
      <c r="I80">
        <v>6.9232451230023866</v>
      </c>
      <c r="J80">
        <v>4.4141298577131686E-12</v>
      </c>
    </row>
    <row r="81" spans="1:10">
      <c r="A81" s="3">
        <v>42849</v>
      </c>
      <c r="B81" s="4">
        <v>105.34</v>
      </c>
      <c r="C81" s="5">
        <v>1.133E-2</v>
      </c>
      <c r="D81" s="5">
        <v>0.19650000000000001</v>
      </c>
      <c r="F81" t="str">
        <v>ma.L1</v>
      </c>
      <c r="G81">
        <v>4.9438500556738081E-3</v>
      </c>
      <c r="H81">
        <v>0.10992739162412687</v>
      </c>
      <c r="I81">
        <v>4.4973777532885E-2</v>
      </c>
      <c r="J81">
        <v>0.9641282102963965</v>
      </c>
    </row>
    <row r="82" spans="1:10">
      <c r="A82" s="3">
        <v>42850</v>
      </c>
      <c r="B82" s="4">
        <v>102.78</v>
      </c>
      <c r="C82" s="5">
        <v>-2.461E-2</v>
      </c>
      <c r="D82" s="5">
        <v>0.20699999999999999</v>
      </c>
      <c r="F82" t="str">
        <v>ma.L2</v>
      </c>
      <c r="G82">
        <v>4.4904979924042215E-2</v>
      </c>
      <c r="H82">
        <v>8.1751896661309706E-2</v>
      </c>
      <c r="I82">
        <v>0.54928364671561392</v>
      </c>
      <c r="J82">
        <v>0.58281080825334741</v>
      </c>
    </row>
    <row r="83" spans="1:10">
      <c r="A83" s="3">
        <v>42851</v>
      </c>
      <c r="B83" s="4">
        <v>103.6</v>
      </c>
      <c r="C83" s="5">
        <v>7.9600000000000001E-3</v>
      </c>
      <c r="D83" s="5">
        <v>0.1996</v>
      </c>
      <c r="F83" t="str">
        <v>ma.L3</v>
      </c>
      <c r="G83">
        <v>6.238705080614896E-2</v>
      </c>
      <c r="H83">
        <v>6.5623746508454761E-2</v>
      </c>
      <c r="I83">
        <v>0.95067798054034003</v>
      </c>
      <c r="J83">
        <v>0.3417678693679318</v>
      </c>
    </row>
    <row r="84" spans="1:10">
      <c r="A84" s="3">
        <v>42852</v>
      </c>
      <c r="B84" s="4">
        <v>102.33</v>
      </c>
      <c r="C84" s="5">
        <v>-1.24E-2</v>
      </c>
      <c r="D84" s="5">
        <v>0.191</v>
      </c>
      <c r="F84" t="str">
        <v>ma.L4</v>
      </c>
      <c r="G84">
        <v>6.3493977259320392E-2</v>
      </c>
      <c r="H84">
        <v>5.935015580251099E-2</v>
      </c>
      <c r="I84">
        <v>1.069819891806149</v>
      </c>
      <c r="J84">
        <v>0.28470038680060727</v>
      </c>
    </row>
    <row r="85" spans="1:10">
      <c r="A85" s="3">
        <v>42853</v>
      </c>
      <c r="B85" s="4">
        <v>99.79</v>
      </c>
      <c r="C85" s="5">
        <v>-2.511E-2</v>
      </c>
      <c r="D85" s="5">
        <v>0.2326</v>
      </c>
      <c r="F85" t="str">
        <v>ma.L5</v>
      </c>
      <c r="G85">
        <v>8.0501379817589064E-2</v>
      </c>
      <c r="H85">
        <v>5.3008488938912843E-2</v>
      </c>
      <c r="I85">
        <v>1.5186507185737574</v>
      </c>
      <c r="J85">
        <v>0.12885043743906763</v>
      </c>
    </row>
    <row r="86" spans="1:10">
      <c r="A86" s="3">
        <v>42856</v>
      </c>
      <c r="B86" s="4">
        <v>99.76</v>
      </c>
      <c r="C86" s="5">
        <v>-2.5000000000000001E-4</v>
      </c>
      <c r="D86" s="5">
        <v>0.247</v>
      </c>
      <c r="F86" t="str">
        <v>sigma2</v>
      </c>
      <c r="G86">
        <v>3.5060912991016465E-4</v>
      </c>
      <c r="H86">
        <v>2.1952643797406989E-5</v>
      </c>
      <c r="I86">
        <v>15.971157421666817</v>
      </c>
      <c r="J86">
        <v>2.029840358145676E-57</v>
      </c>
    </row>
    <row r="87" spans="1:10">
      <c r="A87" s="3">
        <v>42857</v>
      </c>
      <c r="B87" s="4">
        <v>99.44</v>
      </c>
      <c r="C87" s="5">
        <v>-3.2599999999999999E-3</v>
      </c>
      <c r="D87" s="5">
        <v>0.2601</v>
      </c>
    </row>
    <row r="88" spans="1:10">
      <c r="A88" s="3">
        <v>42858</v>
      </c>
      <c r="B88" s="4">
        <v>103.35</v>
      </c>
      <c r="C88" s="5">
        <v>3.8530000000000002E-2</v>
      </c>
      <c r="D88" s="5">
        <v>0.24349999999999999</v>
      </c>
    </row>
    <row r="89" spans="1:10">
      <c r="A89" s="3">
        <v>42859</v>
      </c>
      <c r="B89" s="4">
        <v>104.05</v>
      </c>
      <c r="C89" s="5">
        <v>6.7999999999999996E-3</v>
      </c>
      <c r="D89" s="5">
        <v>0.24979999999999999</v>
      </c>
    </row>
    <row r="90" spans="1:10">
      <c r="A90" s="3">
        <v>42860</v>
      </c>
      <c r="B90" s="4">
        <v>106.38</v>
      </c>
      <c r="C90" s="5">
        <v>2.213E-2</v>
      </c>
      <c r="D90" s="5">
        <v>0.23430000000000001</v>
      </c>
    </row>
    <row r="91" spans="1:10">
      <c r="A91" s="3">
        <v>42863</v>
      </c>
      <c r="B91" s="4">
        <v>105.94</v>
      </c>
      <c r="C91" s="5">
        <v>-4.15E-3</v>
      </c>
      <c r="D91" s="5">
        <v>0.19819999999999999</v>
      </c>
    </row>
    <row r="92" spans="1:10">
      <c r="A92" s="3">
        <v>42864</v>
      </c>
      <c r="B92" s="4">
        <v>104.74</v>
      </c>
      <c r="C92" s="5">
        <v>-1.14E-2</v>
      </c>
      <c r="D92" s="5">
        <v>0.20150000000000001</v>
      </c>
    </row>
    <row r="93" spans="1:10">
      <c r="A93" s="3">
        <v>42865</v>
      </c>
      <c r="B93" s="4">
        <v>104.86</v>
      </c>
      <c r="C93" s="5">
        <v>1.1999999999999999E-3</v>
      </c>
      <c r="D93" s="5">
        <v>0.15820000000000001</v>
      </c>
    </row>
    <row r="94" spans="1:10">
      <c r="A94" s="3">
        <v>42866</v>
      </c>
      <c r="B94" s="4">
        <v>105.38</v>
      </c>
      <c r="C94" s="5">
        <v>4.8700000000000002E-3</v>
      </c>
      <c r="D94" s="5">
        <v>0.1578</v>
      </c>
    </row>
    <row r="95" spans="1:10">
      <c r="A95" s="3">
        <v>42867</v>
      </c>
      <c r="B95" s="4">
        <v>105.38</v>
      </c>
      <c r="C95" s="5">
        <v>8.0000000000000007E-5</v>
      </c>
      <c r="D95" s="5">
        <v>0.14580000000000001</v>
      </c>
    </row>
    <row r="96" spans="1:10">
      <c r="A96" s="3">
        <v>42870</v>
      </c>
      <c r="B96" s="4">
        <v>105.22</v>
      </c>
      <c r="C96" s="5">
        <v>-1.5499999999999999E-3</v>
      </c>
      <c r="D96" s="5">
        <v>0.1343</v>
      </c>
    </row>
    <row r="97" spans="1:4">
      <c r="A97" s="3">
        <v>42871</v>
      </c>
      <c r="B97" s="4">
        <v>106</v>
      </c>
      <c r="C97" s="5">
        <v>7.4000000000000003E-3</v>
      </c>
      <c r="D97" s="5">
        <v>0.1371</v>
      </c>
    </row>
    <row r="98" spans="1:4">
      <c r="A98" s="3">
        <v>42872</v>
      </c>
      <c r="B98" s="4">
        <v>105.2</v>
      </c>
      <c r="C98" s="5">
        <v>-7.6E-3</v>
      </c>
      <c r="D98" s="5">
        <v>0.17180000000000001</v>
      </c>
    </row>
    <row r="99" spans="1:4">
      <c r="A99" s="3">
        <v>42873</v>
      </c>
      <c r="B99" s="4">
        <v>104.74</v>
      </c>
      <c r="C99" s="5">
        <v>-4.3600000000000002E-3</v>
      </c>
      <c r="D99" s="5">
        <v>0.17929999999999999</v>
      </c>
    </row>
    <row r="100" spans="1:4">
      <c r="A100" s="3">
        <v>42874</v>
      </c>
      <c r="B100" s="4">
        <v>104.44</v>
      </c>
      <c r="C100" s="5">
        <v>-2.8999999999999998E-3</v>
      </c>
      <c r="D100" s="5">
        <v>0.1726</v>
      </c>
    </row>
    <row r="101" spans="1:4">
      <c r="A101" s="3">
        <v>42877</v>
      </c>
      <c r="B101" s="4">
        <v>106.19</v>
      </c>
      <c r="C101" s="5">
        <v>1.6619999999999999E-2</v>
      </c>
      <c r="D101" s="5">
        <v>0.18440000000000001</v>
      </c>
    </row>
    <row r="102" spans="1:4">
      <c r="A102" s="3">
        <v>42878</v>
      </c>
      <c r="B102" s="4">
        <v>104.52</v>
      </c>
      <c r="C102" s="5">
        <v>-1.5879999999999998E-2</v>
      </c>
      <c r="D102" s="5">
        <v>0.18240000000000001</v>
      </c>
    </row>
    <row r="103" spans="1:4">
      <c r="A103" s="3">
        <v>42879</v>
      </c>
      <c r="B103" s="4">
        <v>104.98</v>
      </c>
      <c r="C103" s="5">
        <v>4.3699999999999998E-3</v>
      </c>
      <c r="D103" s="5">
        <v>0.17349999999999999</v>
      </c>
    </row>
    <row r="104" spans="1:4">
      <c r="A104" s="3">
        <v>42880</v>
      </c>
      <c r="B104" s="4">
        <v>103.85</v>
      </c>
      <c r="C104" s="5">
        <v>-1.081E-2</v>
      </c>
      <c r="D104" s="5">
        <v>0.19470000000000001</v>
      </c>
    </row>
    <row r="105" spans="1:4">
      <c r="A105" s="3">
        <v>42881</v>
      </c>
      <c r="B105" s="4">
        <v>104.72</v>
      </c>
      <c r="C105" s="5">
        <v>8.3800000000000003E-3</v>
      </c>
      <c r="D105" s="5">
        <v>0.23069999999999999</v>
      </c>
    </row>
    <row r="106" spans="1:4">
      <c r="A106" s="3">
        <v>42884</v>
      </c>
      <c r="B106" s="4">
        <v>104.94</v>
      </c>
      <c r="C106" s="5">
        <v>2.0600000000000002E-3</v>
      </c>
      <c r="D106" s="5">
        <v>0.2218</v>
      </c>
    </row>
    <row r="107" spans="1:4">
      <c r="A107" s="3">
        <v>42885</v>
      </c>
      <c r="B107" s="4">
        <v>106.62</v>
      </c>
      <c r="C107" s="5">
        <v>1.5959999999999998E-2</v>
      </c>
      <c r="D107" s="5">
        <v>0.1794</v>
      </c>
    </row>
    <row r="108" spans="1:4">
      <c r="A108" s="3">
        <v>42886</v>
      </c>
      <c r="B108" s="4">
        <v>107.46</v>
      </c>
      <c r="C108" s="5">
        <v>7.8100000000000001E-3</v>
      </c>
      <c r="D108" s="5">
        <v>0.17469999999999999</v>
      </c>
    </row>
    <row r="109" spans="1:4">
      <c r="A109" s="3">
        <v>42887</v>
      </c>
      <c r="B109" s="4">
        <v>105.92</v>
      </c>
      <c r="C109" s="5">
        <v>-1.447E-2</v>
      </c>
      <c r="D109" s="5">
        <v>0.16800000000000001</v>
      </c>
    </row>
    <row r="110" spans="1:4">
      <c r="A110" s="3">
        <v>42888</v>
      </c>
      <c r="B110" s="4">
        <v>105.71</v>
      </c>
      <c r="C110" s="5">
        <v>-1.91E-3</v>
      </c>
      <c r="D110" s="5">
        <v>0.19239999999999999</v>
      </c>
    </row>
    <row r="111" spans="1:4">
      <c r="A111" s="3">
        <v>42891</v>
      </c>
      <c r="B111" s="4">
        <v>106.44</v>
      </c>
      <c r="C111" s="5">
        <v>6.8199999999999997E-3</v>
      </c>
      <c r="D111" s="5">
        <v>0.16889999999999999</v>
      </c>
    </row>
    <row r="112" spans="1:4">
      <c r="A112" s="3">
        <v>42892</v>
      </c>
      <c r="B112" s="4">
        <v>106.91</v>
      </c>
      <c r="C112" s="5">
        <v>4.4400000000000004E-3</v>
      </c>
      <c r="D112" s="5">
        <v>0.1852</v>
      </c>
    </row>
    <row r="113" spans="1:4">
      <c r="A113" s="3">
        <v>42893</v>
      </c>
      <c r="B113" s="4">
        <v>106.02</v>
      </c>
      <c r="C113" s="5">
        <v>-8.3199999999999993E-3</v>
      </c>
      <c r="D113" s="5">
        <v>0.18579999999999999</v>
      </c>
    </row>
    <row r="114" spans="1:4">
      <c r="A114" s="3">
        <v>42894</v>
      </c>
      <c r="B114" s="4">
        <v>105.15</v>
      </c>
      <c r="C114" s="5">
        <v>-8.2799999999999992E-3</v>
      </c>
      <c r="D114" s="5">
        <v>0.19600000000000001</v>
      </c>
    </row>
    <row r="115" spans="1:4">
      <c r="A115" s="3">
        <v>42895</v>
      </c>
      <c r="B115" s="4">
        <v>106.22</v>
      </c>
      <c r="C115" s="5">
        <v>1.0149999999999999E-2</v>
      </c>
      <c r="D115" s="5">
        <v>0.19670000000000001</v>
      </c>
    </row>
    <row r="116" spans="1:4">
      <c r="A116" s="3">
        <v>42898</v>
      </c>
      <c r="B116" s="4">
        <v>107.64</v>
      </c>
      <c r="C116" s="5">
        <v>1.3270000000000001E-2</v>
      </c>
      <c r="D116" s="5">
        <v>0.193</v>
      </c>
    </row>
    <row r="117" spans="1:4">
      <c r="A117" s="3">
        <v>42899</v>
      </c>
      <c r="B117" s="4">
        <v>104.46</v>
      </c>
      <c r="C117" s="5">
        <v>-3.0009999999999998E-2</v>
      </c>
      <c r="D117" s="5">
        <v>0.17749999999999999</v>
      </c>
    </row>
    <row r="118" spans="1:4">
      <c r="A118" s="3">
        <v>42900</v>
      </c>
      <c r="B118" s="4">
        <v>105.1</v>
      </c>
      <c r="C118" s="5">
        <v>6.0800000000000003E-3</v>
      </c>
      <c r="D118" s="5">
        <v>0.16270000000000001</v>
      </c>
    </row>
    <row r="119" spans="1:4">
      <c r="A119" s="3">
        <v>42901</v>
      </c>
      <c r="B119" s="4">
        <v>104.15</v>
      </c>
      <c r="C119" s="5">
        <v>-9.0600000000000003E-3</v>
      </c>
      <c r="D119" s="5">
        <v>0.1694</v>
      </c>
    </row>
    <row r="120" spans="1:4">
      <c r="A120" s="3">
        <v>42902</v>
      </c>
      <c r="B120" s="4">
        <v>105.85</v>
      </c>
      <c r="C120" s="5">
        <v>1.6199999999999999E-2</v>
      </c>
      <c r="D120" s="5">
        <v>0.16520000000000001</v>
      </c>
    </row>
    <row r="121" spans="1:4">
      <c r="A121" s="3">
        <v>42905</v>
      </c>
      <c r="B121" s="4">
        <v>107.34</v>
      </c>
      <c r="C121" s="5">
        <v>1.3950000000000001E-2</v>
      </c>
      <c r="D121" s="5">
        <v>0.2029</v>
      </c>
    </row>
    <row r="122" spans="1:4">
      <c r="A122" s="3">
        <v>42906</v>
      </c>
      <c r="B122" s="4">
        <v>108.27</v>
      </c>
      <c r="C122" s="5">
        <v>8.6199999999999992E-3</v>
      </c>
      <c r="D122" s="5">
        <v>0.20630000000000001</v>
      </c>
    </row>
    <row r="123" spans="1:4">
      <c r="A123" s="3">
        <v>42907</v>
      </c>
      <c r="B123" s="4">
        <v>108.08</v>
      </c>
      <c r="C123" s="5">
        <v>-1.6900000000000001E-3</v>
      </c>
      <c r="D123" s="5">
        <v>0.1885</v>
      </c>
    </row>
    <row r="124" spans="1:4">
      <c r="A124" s="3">
        <v>42908</v>
      </c>
      <c r="B124" s="4">
        <v>110.69</v>
      </c>
      <c r="C124" s="5">
        <v>2.383E-2</v>
      </c>
      <c r="D124" s="5">
        <v>0.2205</v>
      </c>
    </row>
    <row r="125" spans="1:4">
      <c r="A125" s="3">
        <v>42909</v>
      </c>
      <c r="B125" s="4">
        <v>110.8</v>
      </c>
      <c r="C125" s="5">
        <v>1.01E-3</v>
      </c>
      <c r="D125" s="5">
        <v>0.1862</v>
      </c>
    </row>
    <row r="126" spans="1:4">
      <c r="A126" s="3">
        <v>42912</v>
      </c>
      <c r="B126" s="4">
        <v>110.58</v>
      </c>
      <c r="C126" s="5">
        <v>-2.0400000000000001E-3</v>
      </c>
      <c r="D126" s="5">
        <v>0.21510000000000001</v>
      </c>
    </row>
    <row r="127" spans="1:4">
      <c r="A127" s="3">
        <v>42913</v>
      </c>
      <c r="B127" s="4">
        <v>108.33</v>
      </c>
      <c r="C127" s="5">
        <v>-2.0500000000000001E-2</v>
      </c>
      <c r="D127" s="5">
        <v>0.2011</v>
      </c>
    </row>
    <row r="128" spans="1:4">
      <c r="A128" s="3">
        <v>42914</v>
      </c>
      <c r="B128" s="4">
        <v>107.99</v>
      </c>
      <c r="C128" s="5">
        <v>-3.15E-3</v>
      </c>
      <c r="D128" s="5">
        <v>0.23449999999999999</v>
      </c>
    </row>
    <row r="129" spans="1:4">
      <c r="A129" s="3">
        <v>42915</v>
      </c>
      <c r="B129" s="4">
        <v>110.32</v>
      </c>
      <c r="C129" s="5">
        <v>2.1319999999999999E-2</v>
      </c>
      <c r="D129" s="5">
        <v>0.21890000000000001</v>
      </c>
    </row>
    <row r="130" spans="1:4">
      <c r="A130" s="3">
        <v>42916</v>
      </c>
      <c r="B130" s="4">
        <v>110.54</v>
      </c>
      <c r="C130" s="5">
        <v>2E-3</v>
      </c>
      <c r="D130" s="5">
        <v>0.21049999999999999</v>
      </c>
    </row>
    <row r="131" spans="1:4">
      <c r="A131" s="3">
        <v>42919</v>
      </c>
      <c r="B131" s="4">
        <v>112.61</v>
      </c>
      <c r="C131" s="5">
        <v>1.8540000000000001E-2</v>
      </c>
      <c r="D131" s="5">
        <v>0.18279999999999999</v>
      </c>
    </row>
    <row r="132" spans="1:4">
      <c r="A132" s="3">
        <v>42920</v>
      </c>
      <c r="B132" s="4">
        <v>115.84</v>
      </c>
      <c r="C132" s="5">
        <v>2.8330000000000001E-2</v>
      </c>
      <c r="D132" s="5">
        <v>0.18360000000000001</v>
      </c>
    </row>
    <row r="133" spans="1:4">
      <c r="A133" s="3">
        <v>42921</v>
      </c>
      <c r="B133" s="4">
        <v>113.95</v>
      </c>
      <c r="C133" s="5">
        <v>-1.6469999999999999E-2</v>
      </c>
      <c r="D133" s="5">
        <v>0.2127</v>
      </c>
    </row>
    <row r="134" spans="1:4">
      <c r="A134" s="3">
        <v>42922</v>
      </c>
      <c r="B134" s="4">
        <v>113.88</v>
      </c>
      <c r="C134" s="5">
        <v>-5.9999999999999995E-4</v>
      </c>
      <c r="D134" s="5">
        <v>0.1953</v>
      </c>
    </row>
    <row r="135" spans="1:4">
      <c r="A135" s="3">
        <v>42923</v>
      </c>
      <c r="B135" s="4">
        <v>113.89</v>
      </c>
      <c r="C135" s="5">
        <v>6.9999999999999994E-5</v>
      </c>
      <c r="D135" s="5">
        <v>0.1968</v>
      </c>
    </row>
    <row r="136" spans="1:4">
      <c r="A136" s="3">
        <v>42926</v>
      </c>
      <c r="B136" s="4">
        <v>111.2</v>
      </c>
      <c r="C136" s="5">
        <v>-2.3910000000000001E-2</v>
      </c>
      <c r="D136" s="5">
        <v>0.20250000000000001</v>
      </c>
    </row>
    <row r="137" spans="1:4">
      <c r="A137" s="3">
        <v>42927</v>
      </c>
      <c r="B137" s="4">
        <v>110.87</v>
      </c>
      <c r="C137" s="5">
        <v>-2.99E-3</v>
      </c>
      <c r="D137" s="5">
        <v>0.1663</v>
      </c>
    </row>
    <row r="138" spans="1:4">
      <c r="A138" s="3">
        <v>42928</v>
      </c>
      <c r="B138" s="4">
        <v>110.04</v>
      </c>
      <c r="C138" s="5">
        <v>-7.45E-3</v>
      </c>
      <c r="D138" s="5">
        <v>0.16009999999999999</v>
      </c>
    </row>
    <row r="139" spans="1:4">
      <c r="A139" s="3">
        <v>42929</v>
      </c>
      <c r="B139" s="4">
        <v>108.48</v>
      </c>
      <c r="C139" s="5">
        <v>-1.431E-2</v>
      </c>
      <c r="D139" s="5">
        <v>0.1721</v>
      </c>
    </row>
    <row r="140" spans="1:4">
      <c r="A140" s="3">
        <v>42930</v>
      </c>
      <c r="B140" s="4">
        <v>107.66</v>
      </c>
      <c r="C140" s="5">
        <v>-7.6099999999999996E-3</v>
      </c>
      <c r="D140" s="5">
        <v>0.19869999999999999</v>
      </c>
    </row>
    <row r="141" spans="1:4">
      <c r="A141" s="3">
        <v>42933</v>
      </c>
      <c r="B141" s="4">
        <v>108.45</v>
      </c>
      <c r="C141" s="5">
        <v>7.3099999999999997E-3</v>
      </c>
      <c r="D141" s="5">
        <v>0.161</v>
      </c>
    </row>
    <row r="142" spans="1:4">
      <c r="A142" s="3">
        <v>42934</v>
      </c>
      <c r="B142" s="4">
        <v>107.79</v>
      </c>
      <c r="C142" s="5">
        <v>-6.11E-3</v>
      </c>
      <c r="D142" s="5">
        <v>0.1668</v>
      </c>
    </row>
    <row r="143" spans="1:4">
      <c r="A143" s="3">
        <v>42935</v>
      </c>
      <c r="B143" s="4">
        <v>107.55</v>
      </c>
      <c r="C143" s="5">
        <v>-2.2399999999999998E-3</v>
      </c>
      <c r="D143" s="5">
        <v>0.1507</v>
      </c>
    </row>
    <row r="144" spans="1:4">
      <c r="A144" s="3">
        <v>42936</v>
      </c>
      <c r="B144" s="4">
        <v>107.87</v>
      </c>
      <c r="C144" s="5">
        <v>2.99E-3</v>
      </c>
      <c r="D144" s="5">
        <v>0.14549999999999999</v>
      </c>
    </row>
    <row r="145" spans="1:4">
      <c r="A145" s="3">
        <v>42937</v>
      </c>
      <c r="B145" s="4">
        <v>106.56</v>
      </c>
      <c r="C145" s="5">
        <v>-1.2189999999999999E-2</v>
      </c>
      <c r="D145" s="5">
        <v>0.15740000000000001</v>
      </c>
    </row>
    <row r="146" spans="1:4">
      <c r="A146" s="3">
        <v>42940</v>
      </c>
      <c r="B146" s="4">
        <v>108.48</v>
      </c>
      <c r="C146" s="5">
        <v>1.7860000000000001E-2</v>
      </c>
      <c r="D146" s="5">
        <v>0.191</v>
      </c>
    </row>
    <row r="147" spans="1:4">
      <c r="A147" s="3">
        <v>42941</v>
      </c>
      <c r="B147" s="4">
        <v>107.89</v>
      </c>
      <c r="C147" s="5">
        <v>-5.4999999999999997E-3</v>
      </c>
      <c r="D147" s="5">
        <v>0.19009999999999999</v>
      </c>
    </row>
    <row r="148" spans="1:4">
      <c r="A148" s="3">
        <v>42942</v>
      </c>
      <c r="B148" s="4">
        <v>105.71</v>
      </c>
      <c r="C148" s="5">
        <v>-2.043E-2</v>
      </c>
      <c r="D148" s="5">
        <v>0.19900000000000001</v>
      </c>
    </row>
    <row r="149" spans="1:4">
      <c r="A149" s="3">
        <v>42943</v>
      </c>
      <c r="B149" s="4">
        <v>107.46</v>
      </c>
      <c r="C149" s="5">
        <v>1.6420000000000001E-2</v>
      </c>
      <c r="D149" s="5">
        <v>0.2102</v>
      </c>
    </row>
    <row r="150" spans="1:4">
      <c r="A150" s="3">
        <v>42944</v>
      </c>
      <c r="B150" s="4">
        <v>107.85</v>
      </c>
      <c r="C150" s="5">
        <v>3.63E-3</v>
      </c>
      <c r="D150" s="5">
        <v>0.23599999999999999</v>
      </c>
    </row>
    <row r="151" spans="1:4">
      <c r="A151" s="3">
        <v>42947</v>
      </c>
      <c r="B151" s="4">
        <v>108.1</v>
      </c>
      <c r="C151" s="5">
        <v>2.3700000000000001E-3</v>
      </c>
      <c r="D151" s="5">
        <v>0.20469999999999999</v>
      </c>
    </row>
    <row r="152" spans="1:4">
      <c r="A152" s="3">
        <v>42948</v>
      </c>
      <c r="B152" s="4">
        <v>104.99</v>
      </c>
      <c r="C152" s="5">
        <v>-2.921E-2</v>
      </c>
      <c r="D152" s="5">
        <v>0.20019999999999999</v>
      </c>
    </row>
    <row r="153" spans="1:4">
      <c r="A153" s="3">
        <v>42949</v>
      </c>
      <c r="B153" s="4">
        <v>105.9</v>
      </c>
      <c r="C153" s="5">
        <v>8.6700000000000006E-3</v>
      </c>
      <c r="D153" s="5">
        <v>0.2044</v>
      </c>
    </row>
    <row r="154" spans="1:4">
      <c r="A154" s="3">
        <v>42950</v>
      </c>
      <c r="B154" s="4">
        <v>103.14</v>
      </c>
      <c r="C154" s="5">
        <v>-2.6460000000000001E-2</v>
      </c>
      <c r="D154" s="5">
        <v>0.216</v>
      </c>
    </row>
    <row r="155" spans="1:4">
      <c r="A155" s="3">
        <v>42951</v>
      </c>
      <c r="B155" s="4">
        <v>104.24</v>
      </c>
      <c r="C155" s="5">
        <v>1.065E-2</v>
      </c>
      <c r="D155" s="5">
        <v>0.1976</v>
      </c>
    </row>
    <row r="156" spans="1:4">
      <c r="A156" s="3">
        <v>42954</v>
      </c>
      <c r="B156" s="4">
        <v>105</v>
      </c>
      <c r="C156" s="5">
        <v>7.2300000000000003E-3</v>
      </c>
      <c r="D156" s="5">
        <v>0.19139999999999999</v>
      </c>
    </row>
    <row r="157" spans="1:4">
      <c r="A157" s="3">
        <v>42955</v>
      </c>
      <c r="B157" s="4">
        <v>104.46</v>
      </c>
      <c r="C157" s="5">
        <v>-5.1700000000000001E-3</v>
      </c>
      <c r="D157" s="5">
        <v>0.19439999999999999</v>
      </c>
    </row>
    <row r="158" spans="1:4">
      <c r="A158" s="3">
        <v>42956</v>
      </c>
      <c r="B158" s="4">
        <v>105.56</v>
      </c>
      <c r="C158" s="5">
        <v>1.0500000000000001E-2</v>
      </c>
      <c r="D158" s="5">
        <v>0.20649999999999999</v>
      </c>
    </row>
    <row r="159" spans="1:4">
      <c r="A159" s="3">
        <v>42957</v>
      </c>
      <c r="B159" s="4">
        <v>103.42</v>
      </c>
      <c r="C159" s="5">
        <v>-2.0490000000000001E-2</v>
      </c>
      <c r="D159" s="5">
        <v>0.21740000000000001</v>
      </c>
    </row>
    <row r="160" spans="1:4">
      <c r="A160" s="3">
        <v>42958</v>
      </c>
      <c r="B160" s="4">
        <v>103.51</v>
      </c>
      <c r="C160" s="5">
        <v>8.8999999999999995E-4</v>
      </c>
      <c r="D160" s="5">
        <v>0.20780000000000001</v>
      </c>
    </row>
    <row r="161" spans="1:4">
      <c r="A161" s="3">
        <v>42961</v>
      </c>
      <c r="B161" s="4">
        <v>102.35</v>
      </c>
      <c r="C161" s="5">
        <v>-1.1299999999999999E-2</v>
      </c>
      <c r="D161" s="5">
        <v>0.21410000000000001</v>
      </c>
    </row>
    <row r="162" spans="1:4">
      <c r="A162" s="3">
        <v>42962</v>
      </c>
      <c r="B162" s="4">
        <v>102.26</v>
      </c>
      <c r="C162" s="5">
        <v>-9.1E-4</v>
      </c>
      <c r="D162" s="5">
        <v>0.20899999999999999</v>
      </c>
    </row>
    <row r="163" spans="1:4">
      <c r="A163" s="3">
        <v>42963</v>
      </c>
      <c r="B163" s="4">
        <v>100.49</v>
      </c>
      <c r="C163" s="5">
        <v>-1.745E-2</v>
      </c>
      <c r="D163" s="5">
        <v>0.1983</v>
      </c>
    </row>
    <row r="164" spans="1:4">
      <c r="A164" s="3">
        <v>42964</v>
      </c>
      <c r="B164" s="4">
        <v>101.53</v>
      </c>
      <c r="C164" s="5">
        <v>1.035E-2</v>
      </c>
      <c r="D164" s="5">
        <v>0.1923</v>
      </c>
    </row>
    <row r="165" spans="1:4">
      <c r="A165" s="3">
        <v>42965</v>
      </c>
      <c r="B165" s="4">
        <v>103.24</v>
      </c>
      <c r="C165" s="5">
        <v>1.669E-2</v>
      </c>
      <c r="D165" s="5">
        <v>0.21940000000000001</v>
      </c>
    </row>
    <row r="166" spans="1:4">
      <c r="A166" s="3">
        <v>42968</v>
      </c>
      <c r="B166" s="4">
        <v>101.67</v>
      </c>
      <c r="C166" s="5">
        <v>-1.5350000000000001E-2</v>
      </c>
      <c r="D166" s="5">
        <v>0.18990000000000001</v>
      </c>
    </row>
    <row r="167" spans="1:4">
      <c r="A167" s="3">
        <v>42969</v>
      </c>
      <c r="B167" s="4">
        <v>101.18</v>
      </c>
      <c r="C167" s="5">
        <v>-4.8399999999999997E-3</v>
      </c>
      <c r="D167" s="5">
        <v>0.18540000000000001</v>
      </c>
    </row>
    <row r="168" spans="1:4">
      <c r="A168" s="3">
        <v>42970</v>
      </c>
      <c r="B168" s="4">
        <v>100.97</v>
      </c>
      <c r="C168" s="5">
        <v>-2.0500000000000002E-3</v>
      </c>
      <c r="D168" s="5">
        <v>0.22600000000000001</v>
      </c>
    </row>
    <row r="169" spans="1:4">
      <c r="A169" s="3">
        <v>42971</v>
      </c>
      <c r="B169" s="4">
        <v>100.14</v>
      </c>
      <c r="C169" s="5">
        <v>-8.2500000000000004E-3</v>
      </c>
      <c r="D169" s="5">
        <v>0.24149999999999999</v>
      </c>
    </row>
    <row r="170" spans="1:4">
      <c r="A170" s="3">
        <v>42972</v>
      </c>
      <c r="B170" s="4">
        <v>100.25</v>
      </c>
      <c r="C170" s="5">
        <v>1.1199999999999999E-3</v>
      </c>
      <c r="D170" s="5">
        <v>0.219</v>
      </c>
    </row>
    <row r="171" spans="1:4">
      <c r="A171" s="3">
        <v>42975</v>
      </c>
      <c r="B171" s="4">
        <v>102.68</v>
      </c>
      <c r="C171" s="5">
        <v>2.392E-2</v>
      </c>
      <c r="D171" s="5">
        <v>0.2142</v>
      </c>
    </row>
    <row r="172" spans="1:4">
      <c r="A172" s="3">
        <v>42976</v>
      </c>
      <c r="B172" s="4">
        <v>102.67</v>
      </c>
      <c r="C172" s="5">
        <v>-1.3999999999999999E-4</v>
      </c>
      <c r="D172" s="5">
        <v>0.21410000000000001</v>
      </c>
    </row>
    <row r="173" spans="1:4">
      <c r="A173" s="3">
        <v>42977</v>
      </c>
      <c r="B173" s="4">
        <v>103.4</v>
      </c>
      <c r="C173" s="5">
        <v>7.1500000000000001E-3</v>
      </c>
      <c r="D173" s="5">
        <v>0.18640000000000001</v>
      </c>
    </row>
    <row r="174" spans="1:4">
      <c r="A174" s="3">
        <v>42978</v>
      </c>
      <c r="B174" s="4">
        <v>103.07</v>
      </c>
      <c r="C174" s="5">
        <v>-3.2699999999999999E-3</v>
      </c>
      <c r="D174" s="5">
        <v>0.21590000000000001</v>
      </c>
    </row>
    <row r="175" spans="1:4">
      <c r="A175" s="3">
        <v>42979</v>
      </c>
      <c r="B175" s="4">
        <v>101.98</v>
      </c>
      <c r="C175" s="5">
        <v>-1.0619999999999999E-2</v>
      </c>
      <c r="D175" s="5">
        <v>0.219</v>
      </c>
    </row>
    <row r="176" spans="1:4">
      <c r="A176" s="3">
        <v>42982</v>
      </c>
      <c r="B176" s="4">
        <v>101.3</v>
      </c>
      <c r="C176" s="5">
        <v>-6.62E-3</v>
      </c>
      <c r="D176" s="5">
        <v>0.21060000000000001</v>
      </c>
    </row>
    <row r="177" spans="1:4">
      <c r="A177" s="3">
        <v>42983</v>
      </c>
      <c r="B177" s="4">
        <v>100.66</v>
      </c>
      <c r="C177" s="5">
        <v>-6.4099999999999999E-3</v>
      </c>
      <c r="D177" s="5">
        <v>0.2235</v>
      </c>
    </row>
    <row r="178" spans="1:4">
      <c r="A178" s="3">
        <v>42984</v>
      </c>
      <c r="B178" s="4">
        <v>99.75</v>
      </c>
      <c r="C178" s="5">
        <v>-8.9999999999999993E-3</v>
      </c>
      <c r="D178" s="5">
        <v>0.21690000000000001</v>
      </c>
    </row>
    <row r="179" spans="1:4">
      <c r="A179" s="3">
        <v>42985</v>
      </c>
      <c r="B179" s="4">
        <v>97.98</v>
      </c>
      <c r="C179" s="5">
        <v>-1.796E-2</v>
      </c>
      <c r="D179" s="5">
        <v>0.21879999999999999</v>
      </c>
    </row>
    <row r="180" spans="1:4">
      <c r="A180" s="3">
        <v>42986</v>
      </c>
      <c r="B180" s="4">
        <v>97.74</v>
      </c>
      <c r="C180" s="5">
        <v>-2.4599999999999999E-3</v>
      </c>
      <c r="D180" s="5">
        <v>0.2034</v>
      </c>
    </row>
    <row r="181" spans="1:4">
      <c r="A181" s="3">
        <v>42989</v>
      </c>
      <c r="B181" s="4">
        <v>96.54</v>
      </c>
      <c r="C181" s="5">
        <v>-1.231E-2</v>
      </c>
      <c r="D181" s="5">
        <v>0.1991</v>
      </c>
    </row>
    <row r="182" spans="1:4">
      <c r="A182" s="3">
        <v>42990</v>
      </c>
      <c r="B182" s="4">
        <v>95.15</v>
      </c>
      <c r="C182" s="5">
        <v>-1.452E-2</v>
      </c>
      <c r="D182" s="5">
        <v>0.2306</v>
      </c>
    </row>
    <row r="183" spans="1:4">
      <c r="A183" s="3">
        <v>42991</v>
      </c>
      <c r="B183" s="4">
        <v>94.88</v>
      </c>
      <c r="C183" s="5">
        <v>-2.8E-3</v>
      </c>
      <c r="D183" s="5">
        <v>0.22450000000000001</v>
      </c>
    </row>
    <row r="184" spans="1:4">
      <c r="A184" s="3">
        <v>42992</v>
      </c>
      <c r="B184" s="4">
        <v>94.02</v>
      </c>
      <c r="C184" s="5">
        <v>-9.1999999999999998E-3</v>
      </c>
      <c r="D184" s="5">
        <v>0.20799999999999999</v>
      </c>
    </row>
    <row r="185" spans="1:4">
      <c r="A185" s="3">
        <v>42993</v>
      </c>
      <c r="B185" s="4">
        <v>94.32</v>
      </c>
      <c r="C185" s="5">
        <v>3.2699999999999999E-3</v>
      </c>
      <c r="D185" s="5">
        <v>0.19</v>
      </c>
    </row>
    <row r="186" spans="1:4">
      <c r="A186" s="3">
        <v>42996</v>
      </c>
      <c r="B186" s="4">
        <v>94.01</v>
      </c>
      <c r="C186" s="5">
        <v>-3.3300000000000001E-3</v>
      </c>
      <c r="D186" s="5">
        <v>0.17080000000000001</v>
      </c>
    </row>
    <row r="187" spans="1:4">
      <c r="A187" s="3">
        <v>42997</v>
      </c>
      <c r="B187" s="4">
        <v>92.49</v>
      </c>
      <c r="C187" s="5">
        <v>-1.6250000000000001E-2</v>
      </c>
      <c r="D187" s="5">
        <v>0.20300000000000001</v>
      </c>
    </row>
    <row r="188" spans="1:4">
      <c r="A188" s="3">
        <v>42998</v>
      </c>
      <c r="B188" s="4">
        <v>93.45</v>
      </c>
      <c r="C188" s="5">
        <v>1.027E-2</v>
      </c>
      <c r="D188" s="5">
        <v>0.21479999999999999</v>
      </c>
    </row>
    <row r="189" spans="1:4">
      <c r="A189" s="3">
        <v>42999</v>
      </c>
      <c r="B189" s="4">
        <v>95.97</v>
      </c>
      <c r="C189" s="5">
        <v>2.6589999999999999E-2</v>
      </c>
      <c r="D189" s="5">
        <v>0.1784</v>
      </c>
    </row>
    <row r="190" spans="1:4">
      <c r="A190" s="3">
        <v>43000</v>
      </c>
      <c r="B190" s="4">
        <v>97.16</v>
      </c>
      <c r="C190" s="5">
        <v>1.238E-2</v>
      </c>
      <c r="D190" s="5">
        <v>0.1613</v>
      </c>
    </row>
    <row r="191" spans="1:4">
      <c r="A191" s="3">
        <v>43003</v>
      </c>
      <c r="B191" s="4">
        <v>97.71</v>
      </c>
      <c r="C191" s="5">
        <v>5.5799999999999999E-3</v>
      </c>
      <c r="D191" s="5">
        <v>0.17899999999999999</v>
      </c>
    </row>
    <row r="192" spans="1:4">
      <c r="A192" s="3">
        <v>43004</v>
      </c>
      <c r="B192" s="4">
        <v>97.21</v>
      </c>
      <c r="C192" s="5">
        <v>-5.0699999999999999E-3</v>
      </c>
      <c r="D192" s="5">
        <v>0.1671</v>
      </c>
    </row>
    <row r="193" spans="1:4">
      <c r="A193" s="3">
        <v>43005</v>
      </c>
      <c r="B193" s="4">
        <v>98.03</v>
      </c>
      <c r="C193" s="5">
        <v>8.4100000000000008E-3</v>
      </c>
      <c r="D193" s="5">
        <v>0.1794</v>
      </c>
    </row>
    <row r="194" spans="1:4">
      <c r="A194" s="3">
        <v>43006</v>
      </c>
      <c r="B194" s="4">
        <v>98.81</v>
      </c>
      <c r="C194" s="5">
        <v>7.8700000000000003E-3</v>
      </c>
      <c r="D194" s="5">
        <v>0.16750000000000001</v>
      </c>
    </row>
    <row r="195" spans="1:4">
      <c r="A195" s="3">
        <v>43007</v>
      </c>
      <c r="B195" s="4">
        <v>98.19</v>
      </c>
      <c r="C195" s="5">
        <v>-6.2899999999999996E-3</v>
      </c>
      <c r="D195" s="5">
        <v>0.20419999999999999</v>
      </c>
    </row>
    <row r="196" spans="1:4">
      <c r="A196" s="3">
        <v>43010</v>
      </c>
      <c r="B196" s="4">
        <v>101.16</v>
      </c>
      <c r="C196" s="5">
        <v>2.9819999999999999E-2</v>
      </c>
      <c r="D196" s="5">
        <v>0.2258</v>
      </c>
    </row>
    <row r="197" spans="1:4">
      <c r="A197" s="3">
        <v>43011</v>
      </c>
      <c r="B197" s="4">
        <v>103.15</v>
      </c>
      <c r="C197" s="5">
        <v>1.9449999999999999E-2</v>
      </c>
      <c r="D197" s="5">
        <v>0.218</v>
      </c>
    </row>
    <row r="198" spans="1:4">
      <c r="A198" s="3">
        <v>43012</v>
      </c>
      <c r="B198" s="4">
        <v>102.33</v>
      </c>
      <c r="C198" s="5">
        <v>-7.9500000000000005E-3</v>
      </c>
      <c r="D198" s="5">
        <v>0.19350000000000001</v>
      </c>
    </row>
    <row r="199" spans="1:4">
      <c r="A199" s="3">
        <v>43013</v>
      </c>
      <c r="B199" s="4">
        <v>101.73</v>
      </c>
      <c r="C199" s="5">
        <v>-5.8300000000000001E-3</v>
      </c>
      <c r="D199" s="5">
        <v>0.19589999999999999</v>
      </c>
    </row>
    <row r="200" spans="1:4">
      <c r="A200" s="3">
        <v>43014</v>
      </c>
      <c r="B200" s="4">
        <v>100.61</v>
      </c>
      <c r="C200" s="5">
        <v>-1.11E-2</v>
      </c>
      <c r="D200" s="5">
        <v>0.18859999999999999</v>
      </c>
    </row>
    <row r="201" spans="1:4">
      <c r="A201" s="3">
        <v>43017</v>
      </c>
      <c r="B201" s="4">
        <v>100.68</v>
      </c>
      <c r="C201" s="5">
        <v>7.2000000000000005E-4</v>
      </c>
      <c r="D201" s="5">
        <v>0.18279999999999999</v>
      </c>
    </row>
    <row r="202" spans="1:4">
      <c r="A202" s="3">
        <v>43018</v>
      </c>
      <c r="B202" s="4">
        <v>102.14</v>
      </c>
      <c r="C202" s="5">
        <v>1.439E-2</v>
      </c>
      <c r="D202" s="5">
        <v>0.16800000000000001</v>
      </c>
    </row>
    <row r="203" spans="1:4">
      <c r="A203" s="3">
        <v>43019</v>
      </c>
      <c r="B203" s="4">
        <v>100.58</v>
      </c>
      <c r="C203" s="5">
        <v>-1.5440000000000001E-2</v>
      </c>
      <c r="D203" s="5">
        <v>0.1719</v>
      </c>
    </row>
    <row r="204" spans="1:4">
      <c r="A204" s="3">
        <v>43020</v>
      </c>
      <c r="B204" s="4">
        <v>100.34</v>
      </c>
      <c r="C204" s="5">
        <v>-2.3800000000000002E-3</v>
      </c>
      <c r="D204" s="5">
        <v>0.15659999999999999</v>
      </c>
    </row>
    <row r="205" spans="1:4">
      <c r="A205" s="3">
        <v>43021</v>
      </c>
      <c r="B205" s="4">
        <v>100.62</v>
      </c>
      <c r="C205" s="5">
        <v>2.8300000000000001E-3</v>
      </c>
      <c r="D205" s="5">
        <v>0.1857</v>
      </c>
    </row>
    <row r="206" spans="1:4">
      <c r="A206" s="3">
        <v>43024</v>
      </c>
      <c r="B206" s="4">
        <v>100.14</v>
      </c>
      <c r="C206" s="5">
        <v>-4.8300000000000001E-3</v>
      </c>
      <c r="D206" s="5">
        <v>0.16170000000000001</v>
      </c>
    </row>
    <row r="207" spans="1:4">
      <c r="A207" s="3">
        <v>43025</v>
      </c>
      <c r="B207" s="4">
        <v>100.76</v>
      </c>
      <c r="C207" s="5">
        <v>6.2199999999999998E-3</v>
      </c>
      <c r="D207" s="5">
        <v>0.17510000000000001</v>
      </c>
    </row>
    <row r="208" spans="1:4">
      <c r="A208" s="3">
        <v>43026</v>
      </c>
      <c r="B208" s="4">
        <v>101.54</v>
      </c>
      <c r="C208" s="5">
        <v>7.7000000000000002E-3</v>
      </c>
      <c r="D208" s="5">
        <v>0.21360000000000001</v>
      </c>
    </row>
    <row r="209" spans="1:4">
      <c r="A209" s="3">
        <v>43027</v>
      </c>
      <c r="B209" s="4">
        <v>102.92</v>
      </c>
      <c r="C209" s="5">
        <v>1.345E-2</v>
      </c>
      <c r="D209" s="5">
        <v>0.22109999999999999</v>
      </c>
    </row>
    <row r="210" spans="1:4">
      <c r="A210" s="3">
        <v>43028</v>
      </c>
      <c r="B210" s="4">
        <v>102.04</v>
      </c>
      <c r="C210" s="5">
        <v>-8.5699999999999995E-3</v>
      </c>
      <c r="D210" s="5">
        <v>0.21870000000000001</v>
      </c>
    </row>
    <row r="211" spans="1:4">
      <c r="A211" s="3">
        <v>43031</v>
      </c>
      <c r="B211" s="4">
        <v>103.28</v>
      </c>
      <c r="C211" s="5">
        <v>1.209E-2</v>
      </c>
      <c r="D211" s="5">
        <v>0.20949999999999999</v>
      </c>
    </row>
    <row r="212" spans="1:4">
      <c r="A212" s="3">
        <v>43032</v>
      </c>
      <c r="B212" s="4">
        <v>102.6</v>
      </c>
      <c r="C212" s="5">
        <v>-6.5799999999999999E-3</v>
      </c>
      <c r="D212" s="5">
        <v>0.19059999999999999</v>
      </c>
    </row>
    <row r="213" spans="1:4">
      <c r="A213" s="3">
        <v>43033</v>
      </c>
      <c r="B213" s="4">
        <v>102.24</v>
      </c>
      <c r="C213" s="5">
        <v>-3.5500000000000002E-3</v>
      </c>
      <c r="D213" s="5">
        <v>0.2059</v>
      </c>
    </row>
    <row r="214" spans="1:4">
      <c r="A214" s="3">
        <v>43034</v>
      </c>
      <c r="B214" s="4">
        <v>101.64</v>
      </c>
      <c r="C214" s="5">
        <v>-5.9199999999999999E-3</v>
      </c>
      <c r="D214" s="5">
        <v>0.20580000000000001</v>
      </c>
    </row>
    <row r="215" spans="1:4">
      <c r="A215" s="3">
        <v>43035</v>
      </c>
      <c r="B215" s="4">
        <v>102.39</v>
      </c>
      <c r="C215" s="5">
        <v>7.4000000000000003E-3</v>
      </c>
      <c r="D215" s="5">
        <v>0.1938</v>
      </c>
    </row>
    <row r="216" spans="1:4">
      <c r="A216" s="3">
        <v>43038</v>
      </c>
      <c r="B216" s="4">
        <v>102.23</v>
      </c>
      <c r="C216" s="5">
        <v>-1.5299999999999999E-3</v>
      </c>
      <c r="D216" s="5">
        <v>0.18940000000000001</v>
      </c>
    </row>
    <row r="217" spans="1:4">
      <c r="A217" s="3">
        <v>43039</v>
      </c>
      <c r="B217" s="4">
        <v>102.19</v>
      </c>
      <c r="C217" s="5">
        <v>-3.8999999999999999E-4</v>
      </c>
      <c r="D217" s="5">
        <v>0.18310000000000001</v>
      </c>
    </row>
    <row r="218" spans="1:4">
      <c r="A218" s="3">
        <v>43040</v>
      </c>
      <c r="B218" s="4">
        <v>97.99</v>
      </c>
      <c r="C218" s="5">
        <v>-4.197E-2</v>
      </c>
      <c r="D218" s="5">
        <v>0.22459999999999999</v>
      </c>
    </row>
    <row r="219" spans="1:4">
      <c r="A219" s="3">
        <v>43041</v>
      </c>
      <c r="B219" s="4">
        <v>98.48</v>
      </c>
      <c r="C219" s="5">
        <v>4.9699999999999996E-3</v>
      </c>
      <c r="D219" s="5">
        <v>0.1769</v>
      </c>
    </row>
    <row r="220" spans="1:4">
      <c r="A220" s="3">
        <v>43042</v>
      </c>
      <c r="B220" s="4">
        <v>95.98</v>
      </c>
      <c r="C220" s="5">
        <v>-2.5690000000000001E-2</v>
      </c>
      <c r="D220" s="5">
        <v>0.18940000000000001</v>
      </c>
    </row>
    <row r="221" spans="1:4">
      <c r="A221" s="3">
        <v>43045</v>
      </c>
      <c r="B221" s="4">
        <v>96.79</v>
      </c>
      <c r="C221" s="5">
        <v>8.3099999999999997E-3</v>
      </c>
      <c r="D221" s="5">
        <v>0.1792</v>
      </c>
    </row>
    <row r="222" spans="1:4">
      <c r="A222" s="3">
        <v>43046</v>
      </c>
      <c r="B222" s="4">
        <v>96.81</v>
      </c>
      <c r="C222" s="5">
        <v>2.9E-4</v>
      </c>
      <c r="D222" s="5">
        <v>0.1782</v>
      </c>
    </row>
    <row r="223" spans="1:4">
      <c r="A223" s="3">
        <v>43047</v>
      </c>
      <c r="B223" s="4">
        <v>96.86</v>
      </c>
      <c r="C223" s="5">
        <v>5.1999999999999995E-4</v>
      </c>
      <c r="D223" s="5">
        <v>0.19450000000000001</v>
      </c>
    </row>
    <row r="224" spans="1:4">
      <c r="A224" s="3">
        <v>43048</v>
      </c>
      <c r="B224" s="4">
        <v>96.61</v>
      </c>
      <c r="C224" s="5">
        <v>-2.66E-3</v>
      </c>
      <c r="D224" s="5">
        <v>0.1769</v>
      </c>
    </row>
    <row r="225" spans="1:4">
      <c r="A225" s="3">
        <v>43049</v>
      </c>
      <c r="B225" s="4">
        <v>96.43</v>
      </c>
      <c r="C225" s="5">
        <v>-1.8E-3</v>
      </c>
      <c r="D225" s="5">
        <v>0.16289999999999999</v>
      </c>
    </row>
    <row r="226" spans="1:4">
      <c r="A226" s="3">
        <v>43052</v>
      </c>
      <c r="B226" s="4">
        <v>98.11</v>
      </c>
      <c r="C226" s="5">
        <v>1.7219999999999999E-2</v>
      </c>
      <c r="D226" s="5">
        <v>0.19120000000000001</v>
      </c>
    </row>
    <row r="227" spans="1:4">
      <c r="A227" s="3">
        <v>43053</v>
      </c>
      <c r="B227" s="4">
        <v>97.94</v>
      </c>
      <c r="C227" s="5">
        <v>-1.66E-3</v>
      </c>
      <c r="D227" s="5">
        <v>0.14960000000000001</v>
      </c>
    </row>
    <row r="228" spans="1:4">
      <c r="A228" s="3">
        <v>43054</v>
      </c>
      <c r="B228" s="4">
        <v>98.96</v>
      </c>
      <c r="C228" s="5">
        <v>1.0319999999999999E-2</v>
      </c>
      <c r="D228" s="5">
        <v>0.15010000000000001</v>
      </c>
    </row>
    <row r="229" spans="1:4">
      <c r="A229" s="3">
        <v>43055</v>
      </c>
      <c r="B229" s="4">
        <v>99.22</v>
      </c>
      <c r="C229" s="5">
        <v>2.5999999999999999E-3</v>
      </c>
      <c r="D229" s="5">
        <v>0.1527</v>
      </c>
    </row>
    <row r="230" spans="1:4">
      <c r="A230" s="3">
        <v>43056</v>
      </c>
      <c r="B230" s="4">
        <v>100.22</v>
      </c>
      <c r="C230" s="5">
        <v>1.005E-2</v>
      </c>
      <c r="D230" s="5">
        <v>0.16120000000000001</v>
      </c>
    </row>
    <row r="231" spans="1:4">
      <c r="A231" s="3">
        <v>43059</v>
      </c>
      <c r="B231" s="4">
        <v>100.46</v>
      </c>
      <c r="C231" s="5">
        <v>2.3700000000000001E-3</v>
      </c>
      <c r="D231" s="5">
        <v>0.15529999999999999</v>
      </c>
    </row>
    <row r="232" spans="1:4">
      <c r="A232" s="3">
        <v>43060</v>
      </c>
      <c r="B232" s="4">
        <v>101.53</v>
      </c>
      <c r="C232" s="5">
        <v>1.065E-2</v>
      </c>
      <c r="D232" s="5">
        <v>0.17380000000000001</v>
      </c>
    </row>
    <row r="233" spans="1:4">
      <c r="A233" s="3">
        <v>43061</v>
      </c>
      <c r="B233" s="4">
        <v>102.59</v>
      </c>
      <c r="C233" s="5">
        <v>1.0370000000000001E-2</v>
      </c>
      <c r="D233" s="5">
        <v>0.16889999999999999</v>
      </c>
    </row>
    <row r="234" spans="1:4">
      <c r="A234" s="3">
        <v>43062</v>
      </c>
      <c r="B234" s="4">
        <v>104.42</v>
      </c>
      <c r="C234" s="5">
        <v>1.762E-2</v>
      </c>
      <c r="D234" s="5">
        <v>0.1615</v>
      </c>
    </row>
    <row r="235" spans="1:4">
      <c r="A235" s="3">
        <v>43063</v>
      </c>
      <c r="B235" s="4">
        <v>105.1</v>
      </c>
      <c r="C235" s="5">
        <v>6.5500000000000003E-3</v>
      </c>
      <c r="D235" s="5">
        <v>0.15090000000000001</v>
      </c>
    </row>
    <row r="236" spans="1:4">
      <c r="A236" s="3">
        <v>43066</v>
      </c>
      <c r="B236" s="4">
        <v>104.71</v>
      </c>
      <c r="C236" s="5">
        <v>-3.7000000000000002E-3</v>
      </c>
      <c r="D236" s="5">
        <v>0.17499999999999999</v>
      </c>
    </row>
    <row r="237" spans="1:4">
      <c r="A237" s="3">
        <v>43067</v>
      </c>
      <c r="B237" s="4">
        <v>105.98</v>
      </c>
      <c r="C237" s="5">
        <v>1.2E-2</v>
      </c>
      <c r="D237" s="5">
        <v>0.17860000000000001</v>
      </c>
    </row>
    <row r="238" spans="1:4">
      <c r="A238" s="3">
        <v>43068</v>
      </c>
      <c r="B238" s="4">
        <v>107.01</v>
      </c>
      <c r="C238" s="5">
        <v>9.6500000000000006E-3</v>
      </c>
      <c r="D238" s="5">
        <v>0.16839999999999999</v>
      </c>
    </row>
    <row r="239" spans="1:4">
      <c r="A239" s="3">
        <v>43069</v>
      </c>
      <c r="B239" s="4">
        <v>107.69</v>
      </c>
      <c r="C239" s="5">
        <v>6.4099999999999999E-3</v>
      </c>
      <c r="D239" s="5">
        <v>0.18940000000000001</v>
      </c>
    </row>
    <row r="240" spans="1:4">
      <c r="A240" s="3">
        <v>43070</v>
      </c>
      <c r="B240" s="4">
        <v>107.21</v>
      </c>
      <c r="C240" s="5">
        <v>-4.4900000000000001E-3</v>
      </c>
      <c r="D240" s="5">
        <v>0.19750000000000001</v>
      </c>
    </row>
    <row r="241" spans="1:4">
      <c r="A241" s="3">
        <v>43073</v>
      </c>
      <c r="B241" s="4">
        <v>106.72</v>
      </c>
      <c r="C241" s="5">
        <v>-4.6299999999999996E-3</v>
      </c>
      <c r="D241" s="5">
        <v>0.2122</v>
      </c>
    </row>
    <row r="242" spans="1:4">
      <c r="A242" s="3">
        <v>43074</v>
      </c>
      <c r="B242" s="4">
        <v>108.37</v>
      </c>
      <c r="C242" s="5">
        <v>1.5339999999999999E-2</v>
      </c>
      <c r="D242" s="5">
        <v>0.20630000000000001</v>
      </c>
    </row>
    <row r="243" spans="1:4">
      <c r="A243" s="3">
        <v>43075</v>
      </c>
      <c r="B243" s="4">
        <v>107.74</v>
      </c>
      <c r="C243" s="5">
        <v>-5.7499999999999999E-3</v>
      </c>
      <c r="D243" s="5">
        <v>0.2044</v>
      </c>
    </row>
    <row r="244" spans="1:4">
      <c r="A244" s="3">
        <v>43076</v>
      </c>
      <c r="B244" s="4">
        <v>106.52</v>
      </c>
      <c r="C244" s="5">
        <v>-1.146E-2</v>
      </c>
      <c r="D244" s="5">
        <v>0.19170000000000001</v>
      </c>
    </row>
    <row r="245" spans="1:4">
      <c r="A245" s="3">
        <v>43077</v>
      </c>
      <c r="B245" s="4">
        <v>106.72</v>
      </c>
      <c r="C245" s="5">
        <v>1.9E-3</v>
      </c>
      <c r="D245" s="5">
        <v>0.21909999999999999</v>
      </c>
    </row>
    <row r="246" spans="1:4">
      <c r="A246" s="3">
        <v>43080</v>
      </c>
      <c r="B246" s="4">
        <v>106.21</v>
      </c>
      <c r="C246" s="5">
        <v>-4.7600000000000003E-3</v>
      </c>
      <c r="D246" s="5">
        <v>0.21129999999999999</v>
      </c>
    </row>
    <row r="247" spans="1:4">
      <c r="A247" s="3">
        <v>43081</v>
      </c>
      <c r="B247" s="4">
        <v>107.44</v>
      </c>
      <c r="C247" s="5">
        <v>1.1480000000000001E-2</v>
      </c>
      <c r="D247" s="5">
        <v>0.2296</v>
      </c>
    </row>
    <row r="248" spans="1:4">
      <c r="A248" s="3">
        <v>43082</v>
      </c>
      <c r="B248" s="4">
        <v>109.56</v>
      </c>
      <c r="C248" s="5">
        <v>1.9519999999999999E-2</v>
      </c>
      <c r="D248" s="5">
        <v>0.1966</v>
      </c>
    </row>
    <row r="249" spans="1:4">
      <c r="A249" s="3">
        <v>43083</v>
      </c>
      <c r="B249" s="4">
        <v>107.98</v>
      </c>
      <c r="C249" s="5">
        <v>-1.4460000000000001E-2</v>
      </c>
      <c r="D249" s="5">
        <v>0.17080000000000001</v>
      </c>
    </row>
    <row r="250" spans="1:4">
      <c r="A250" s="3">
        <v>43084</v>
      </c>
      <c r="B250" s="4">
        <v>107</v>
      </c>
      <c r="C250" s="5">
        <v>-9.1599999999999997E-3</v>
      </c>
      <c r="D250" s="5">
        <v>0.16170000000000001</v>
      </c>
    </row>
    <row r="251" spans="1:4">
      <c r="A251" s="3">
        <v>43087</v>
      </c>
      <c r="B251" s="4">
        <v>105.96</v>
      </c>
      <c r="C251" s="5">
        <v>-9.7900000000000001E-3</v>
      </c>
      <c r="D251" s="5">
        <v>0.15340000000000001</v>
      </c>
    </row>
    <row r="252" spans="1:4">
      <c r="A252" s="3">
        <v>43088</v>
      </c>
      <c r="B252" s="4">
        <v>106.82</v>
      </c>
      <c r="C252" s="5">
        <v>8.1200000000000005E-3</v>
      </c>
      <c r="D252" s="5">
        <v>0.19040000000000001</v>
      </c>
    </row>
    <row r="253" spans="1:4">
      <c r="A253" s="3">
        <v>43089</v>
      </c>
      <c r="B253" s="4">
        <v>105.71</v>
      </c>
      <c r="C253" s="5">
        <v>-1.0410000000000001E-2</v>
      </c>
      <c r="D253" s="5">
        <v>0.16550000000000001</v>
      </c>
    </row>
    <row r="254" spans="1:4">
      <c r="A254" s="3">
        <v>43090</v>
      </c>
      <c r="B254" s="4">
        <v>105.84</v>
      </c>
      <c r="C254" s="5">
        <v>1.1900000000000001E-3</v>
      </c>
      <c r="D254" s="5">
        <v>0.17169999999999999</v>
      </c>
    </row>
    <row r="255" spans="1:4">
      <c r="A255" s="3">
        <v>43091</v>
      </c>
      <c r="B255" s="4">
        <v>107.58</v>
      </c>
      <c r="C255" s="5">
        <v>1.6310000000000002E-2</v>
      </c>
      <c r="D255" s="5">
        <v>0.1772</v>
      </c>
    </row>
    <row r="256" spans="1:4">
      <c r="A256" s="3">
        <v>43094</v>
      </c>
      <c r="B256" s="4">
        <v>105.91</v>
      </c>
      <c r="C256" s="5">
        <v>-1.5630000000000002E-2</v>
      </c>
      <c r="D256" s="5">
        <v>0.21460000000000001</v>
      </c>
    </row>
    <row r="257" spans="1:4">
      <c r="A257" s="3">
        <v>43095</v>
      </c>
      <c r="B257" s="4">
        <v>105.37</v>
      </c>
      <c r="C257" s="5">
        <v>-5.1599999999999997E-3</v>
      </c>
      <c r="D257" s="5">
        <v>0.21179999999999999</v>
      </c>
    </row>
    <row r="258" spans="1:4">
      <c r="A258" s="3">
        <v>43096</v>
      </c>
      <c r="B258" s="4">
        <v>107.72</v>
      </c>
      <c r="C258" s="5">
        <v>2.2110000000000001E-2</v>
      </c>
      <c r="D258" s="5">
        <v>0.20449999999999999</v>
      </c>
    </row>
    <row r="259" spans="1:4">
      <c r="A259" s="3">
        <v>43097</v>
      </c>
      <c r="B259" s="4">
        <v>106.38</v>
      </c>
      <c r="C259" s="5">
        <v>-1.256E-2</v>
      </c>
      <c r="D259" s="5">
        <v>0.20899999999999999</v>
      </c>
    </row>
    <row r="260" spans="1:4">
      <c r="A260" s="3">
        <v>43098</v>
      </c>
      <c r="B260" s="4">
        <v>107.6</v>
      </c>
      <c r="C260" s="5">
        <v>1.145E-2</v>
      </c>
      <c r="D260" s="5">
        <v>0.1923</v>
      </c>
    </row>
    <row r="261" spans="1:4">
      <c r="A261" s="3">
        <v>43101</v>
      </c>
      <c r="B261" s="4">
        <v>107.09</v>
      </c>
      <c r="C261" s="5">
        <v>-4.7800000000000004E-3</v>
      </c>
      <c r="D261" s="5">
        <v>0.1794</v>
      </c>
    </row>
    <row r="262" spans="1:4">
      <c r="A262" s="3">
        <v>43102</v>
      </c>
      <c r="B262" s="4">
        <v>107.95</v>
      </c>
      <c r="C262" s="5">
        <v>8.0199999999999994E-3</v>
      </c>
      <c r="D262" s="5">
        <v>0.13619999999999999</v>
      </c>
    </row>
    <row r="263" spans="1:4">
      <c r="A263" s="3">
        <v>43103</v>
      </c>
      <c r="B263" s="4">
        <v>106.33</v>
      </c>
      <c r="C263" s="5">
        <v>-1.519E-2</v>
      </c>
      <c r="D263" s="5">
        <v>0.14199999999999999</v>
      </c>
    </row>
    <row r="264" spans="1:4">
      <c r="A264" s="3">
        <v>43104</v>
      </c>
      <c r="B264" s="4">
        <v>105.83</v>
      </c>
      <c r="C264" s="5">
        <v>-4.6600000000000001E-3</v>
      </c>
      <c r="D264" s="5">
        <v>0.1832</v>
      </c>
    </row>
    <row r="265" spans="1:4">
      <c r="A265" s="3">
        <v>43105</v>
      </c>
      <c r="B265" s="4">
        <v>105.39</v>
      </c>
      <c r="C265" s="5">
        <v>-4.1399999999999996E-3</v>
      </c>
      <c r="D265" s="5">
        <v>0.19900000000000001</v>
      </c>
    </row>
    <row r="266" spans="1:4">
      <c r="A266" s="3">
        <v>43108</v>
      </c>
      <c r="B266" s="4">
        <v>102.83</v>
      </c>
      <c r="C266" s="5">
        <v>-2.461E-2</v>
      </c>
      <c r="D266" s="5">
        <v>0.1822</v>
      </c>
    </row>
    <row r="267" spans="1:4">
      <c r="A267" s="3">
        <v>43109</v>
      </c>
      <c r="B267" s="4">
        <v>100.44</v>
      </c>
      <c r="C267" s="5">
        <v>-2.351E-2</v>
      </c>
      <c r="D267" s="5">
        <v>0.21129999999999999</v>
      </c>
    </row>
    <row r="268" spans="1:4">
      <c r="A268" s="3">
        <v>43110</v>
      </c>
      <c r="B268" s="4">
        <v>101.94</v>
      </c>
      <c r="C268" s="5">
        <v>1.4829999999999999E-2</v>
      </c>
      <c r="D268" s="5">
        <v>0.22040000000000001</v>
      </c>
    </row>
    <row r="269" spans="1:4">
      <c r="A269" s="3">
        <v>43111</v>
      </c>
      <c r="B269" s="4">
        <v>104.15</v>
      </c>
      <c r="C269" s="5">
        <v>2.1360000000000001E-2</v>
      </c>
      <c r="D269" s="5">
        <v>0.24690000000000001</v>
      </c>
    </row>
    <row r="270" spans="1:4">
      <c r="A270" s="3">
        <v>43112</v>
      </c>
      <c r="B270" s="4">
        <v>101.72</v>
      </c>
      <c r="C270" s="5">
        <v>-2.3570000000000001E-2</v>
      </c>
      <c r="D270" s="5">
        <v>0.27110000000000001</v>
      </c>
    </row>
    <row r="271" spans="1:4">
      <c r="A271" s="3">
        <v>43115</v>
      </c>
      <c r="B271" s="4">
        <v>102.66</v>
      </c>
      <c r="C271" s="5">
        <v>9.1999999999999998E-3</v>
      </c>
      <c r="D271" s="5">
        <v>0.2407</v>
      </c>
    </row>
    <row r="272" spans="1:4">
      <c r="A272" s="3">
        <v>43116</v>
      </c>
      <c r="B272" s="4">
        <v>101.06</v>
      </c>
      <c r="C272" s="5">
        <v>-1.5679999999999999E-2</v>
      </c>
      <c r="D272" s="5">
        <v>0.2727</v>
      </c>
    </row>
    <row r="273" spans="1:4">
      <c r="A273" s="3">
        <v>43117</v>
      </c>
      <c r="B273" s="4">
        <v>100.12</v>
      </c>
      <c r="C273" s="5">
        <v>-9.3699999999999999E-3</v>
      </c>
      <c r="D273" s="5">
        <v>0.26879999999999998</v>
      </c>
    </row>
    <row r="274" spans="1:4">
      <c r="A274" s="3">
        <v>43118</v>
      </c>
      <c r="B274" s="4">
        <v>98.1</v>
      </c>
      <c r="C274" s="5">
        <v>-2.034E-2</v>
      </c>
      <c r="D274" s="5">
        <v>0.23449999999999999</v>
      </c>
    </row>
    <row r="275" spans="1:4">
      <c r="A275" s="3">
        <v>43119</v>
      </c>
      <c r="B275" s="4">
        <v>99.82</v>
      </c>
      <c r="C275" s="5">
        <v>1.7340000000000001E-2</v>
      </c>
      <c r="D275" s="5">
        <v>0.24129999999999999</v>
      </c>
    </row>
    <row r="276" spans="1:4">
      <c r="A276" s="3">
        <v>43122</v>
      </c>
      <c r="B276" s="4">
        <v>96.44</v>
      </c>
      <c r="C276" s="5">
        <v>-3.4470000000000001E-2</v>
      </c>
      <c r="D276" s="5">
        <v>0.23949999999999999</v>
      </c>
    </row>
    <row r="277" spans="1:4">
      <c r="A277" s="3">
        <v>43123</v>
      </c>
      <c r="B277" s="4">
        <v>93.99</v>
      </c>
      <c r="C277" s="5">
        <v>-2.571E-2</v>
      </c>
      <c r="D277" s="5">
        <v>0.26119999999999999</v>
      </c>
    </row>
    <row r="278" spans="1:4">
      <c r="A278" s="3">
        <v>43124</v>
      </c>
      <c r="B278" s="4">
        <v>93.27</v>
      </c>
      <c r="C278" s="5">
        <v>-7.6299999999999996E-3</v>
      </c>
      <c r="D278" s="5">
        <v>0.24440000000000001</v>
      </c>
    </row>
    <row r="279" spans="1:4">
      <c r="A279" s="3">
        <v>43125</v>
      </c>
      <c r="B279" s="4">
        <v>94.82</v>
      </c>
      <c r="C279" s="5">
        <v>1.6459999999999999E-2</v>
      </c>
      <c r="D279" s="5">
        <v>0.23880000000000001</v>
      </c>
    </row>
    <row r="280" spans="1:4">
      <c r="A280" s="3">
        <v>43126</v>
      </c>
      <c r="B280" s="4">
        <v>94.1</v>
      </c>
      <c r="C280" s="5">
        <v>-7.6299999999999996E-3</v>
      </c>
      <c r="D280" s="5">
        <v>0.24260000000000001</v>
      </c>
    </row>
    <row r="281" spans="1:4">
      <c r="A281" s="3">
        <v>43129</v>
      </c>
      <c r="B281" s="4">
        <v>92.77</v>
      </c>
      <c r="C281" s="5">
        <v>-1.422E-2</v>
      </c>
      <c r="D281" s="5">
        <v>0.2326</v>
      </c>
    </row>
    <row r="282" spans="1:4">
      <c r="A282" s="3">
        <v>43130</v>
      </c>
      <c r="B282" s="4">
        <v>92.88</v>
      </c>
      <c r="C282" s="5">
        <v>1.1199999999999999E-3</v>
      </c>
      <c r="D282" s="5">
        <v>0.28970000000000001</v>
      </c>
    </row>
    <row r="283" spans="1:4">
      <c r="A283" s="3">
        <v>43131</v>
      </c>
      <c r="B283" s="4">
        <v>94.24</v>
      </c>
      <c r="C283" s="5">
        <v>1.461E-2</v>
      </c>
      <c r="D283" s="5">
        <v>0.25359999999999999</v>
      </c>
    </row>
    <row r="284" spans="1:4">
      <c r="A284" s="3">
        <v>43132</v>
      </c>
      <c r="B284" s="4">
        <v>96.13</v>
      </c>
      <c r="C284" s="5">
        <v>1.9859999999999999E-2</v>
      </c>
      <c r="D284" s="5">
        <v>0.25019999999999998</v>
      </c>
    </row>
    <row r="285" spans="1:4">
      <c r="A285" s="3">
        <v>43133</v>
      </c>
      <c r="B285" s="4">
        <v>96.12</v>
      </c>
      <c r="C285" s="5">
        <v>-1.1E-4</v>
      </c>
      <c r="D285" s="5">
        <v>0.24360000000000001</v>
      </c>
    </row>
    <row r="286" spans="1:4">
      <c r="A286" s="3">
        <v>43136</v>
      </c>
      <c r="B286" s="4">
        <v>96.7</v>
      </c>
      <c r="C286" s="5">
        <v>6.0200000000000002E-3</v>
      </c>
      <c r="D286" s="5">
        <v>0.2321</v>
      </c>
    </row>
    <row r="287" spans="1:4">
      <c r="A287" s="3">
        <v>43137</v>
      </c>
      <c r="B287" s="4">
        <v>97.58</v>
      </c>
      <c r="C287" s="5">
        <v>8.9999999999999993E-3</v>
      </c>
      <c r="D287" s="5">
        <v>0.24229999999999999</v>
      </c>
    </row>
    <row r="288" spans="1:4">
      <c r="A288" s="3">
        <v>43138</v>
      </c>
      <c r="B288" s="4">
        <v>97.75</v>
      </c>
      <c r="C288" s="5">
        <v>1.73E-3</v>
      </c>
      <c r="D288" s="5">
        <v>0.24160000000000001</v>
      </c>
    </row>
    <row r="289" spans="1:4">
      <c r="A289" s="3">
        <v>43139</v>
      </c>
      <c r="B289" s="4">
        <v>95.76</v>
      </c>
      <c r="C289" s="5">
        <v>-2.0580000000000001E-2</v>
      </c>
      <c r="D289" s="5">
        <v>0.24360000000000001</v>
      </c>
    </row>
    <row r="290" spans="1:4">
      <c r="A290" s="3">
        <v>43140</v>
      </c>
      <c r="B290" s="4">
        <v>93.88</v>
      </c>
      <c r="C290" s="5">
        <v>-1.9800000000000002E-2</v>
      </c>
      <c r="D290" s="5">
        <v>0.2253</v>
      </c>
    </row>
    <row r="291" spans="1:4">
      <c r="A291" s="3">
        <v>43143</v>
      </c>
      <c r="B291" s="4">
        <v>93.07</v>
      </c>
      <c r="C291" s="5">
        <v>-8.6400000000000001E-3</v>
      </c>
      <c r="D291" s="5">
        <v>0.20630000000000001</v>
      </c>
    </row>
    <row r="292" spans="1:4">
      <c r="A292" s="3">
        <v>43144</v>
      </c>
      <c r="B292" s="4">
        <v>94.86</v>
      </c>
      <c r="C292" s="5">
        <v>1.9019999999999999E-2</v>
      </c>
      <c r="D292" s="5">
        <v>0.21</v>
      </c>
    </row>
    <row r="293" spans="1:4">
      <c r="A293" s="3">
        <v>43145</v>
      </c>
      <c r="B293" s="4">
        <v>95.85</v>
      </c>
      <c r="C293" s="5">
        <v>1.0370000000000001E-2</v>
      </c>
      <c r="D293" s="5">
        <v>0.22570000000000001</v>
      </c>
    </row>
    <row r="294" spans="1:4">
      <c r="A294" s="3">
        <v>43146</v>
      </c>
      <c r="B294" s="4">
        <v>95.13</v>
      </c>
      <c r="C294" s="5">
        <v>-7.5500000000000003E-3</v>
      </c>
      <c r="D294" s="5">
        <v>0.21640000000000001</v>
      </c>
    </row>
    <row r="295" spans="1:4">
      <c r="A295" s="3">
        <v>43147</v>
      </c>
      <c r="B295" s="4">
        <v>96.18</v>
      </c>
      <c r="C295" s="5">
        <v>1.103E-2</v>
      </c>
      <c r="D295" s="5">
        <v>0.218</v>
      </c>
    </row>
    <row r="296" spans="1:4">
      <c r="A296" s="3">
        <v>43150</v>
      </c>
      <c r="B296" s="4">
        <v>96.81</v>
      </c>
      <c r="C296" s="5">
        <v>6.4900000000000001E-3</v>
      </c>
      <c r="D296" s="5">
        <v>0.19639999999999999</v>
      </c>
    </row>
    <row r="297" spans="1:4">
      <c r="A297" s="3">
        <v>43151</v>
      </c>
      <c r="B297" s="4">
        <v>97.87</v>
      </c>
      <c r="C297" s="5">
        <v>1.095E-2</v>
      </c>
      <c r="D297" s="5">
        <v>0.21709999999999999</v>
      </c>
    </row>
    <row r="298" spans="1:4">
      <c r="A298" s="3">
        <v>43152</v>
      </c>
      <c r="B298" s="4">
        <v>98.51</v>
      </c>
      <c r="C298" s="5">
        <v>6.45E-3</v>
      </c>
      <c r="D298" s="5">
        <v>0.23180000000000001</v>
      </c>
    </row>
    <row r="299" spans="1:4">
      <c r="A299" s="3">
        <v>43153</v>
      </c>
      <c r="B299" s="4">
        <v>99.14</v>
      </c>
      <c r="C299" s="5">
        <v>6.3800000000000003E-3</v>
      </c>
      <c r="D299" s="5">
        <v>0.2301</v>
      </c>
    </row>
    <row r="300" spans="1:4">
      <c r="A300" s="3">
        <v>43154</v>
      </c>
      <c r="B300" s="4">
        <v>99.99</v>
      </c>
      <c r="C300" s="5">
        <v>8.6E-3</v>
      </c>
      <c r="D300" s="5">
        <v>0.19400000000000001</v>
      </c>
    </row>
    <row r="301" spans="1:4">
      <c r="A301" s="3">
        <v>43157</v>
      </c>
      <c r="B301" s="4">
        <v>99.48</v>
      </c>
      <c r="C301" s="5">
        <v>-5.1000000000000004E-3</v>
      </c>
      <c r="D301" s="5">
        <v>0.17199999999999999</v>
      </c>
    </row>
    <row r="302" spans="1:4">
      <c r="A302" s="3">
        <v>43158</v>
      </c>
      <c r="B302" s="4">
        <v>99.75</v>
      </c>
      <c r="C302" s="5">
        <v>2.7200000000000002E-3</v>
      </c>
      <c r="D302" s="5">
        <v>0.1734</v>
      </c>
    </row>
    <row r="303" spans="1:4">
      <c r="A303" s="3">
        <v>43159</v>
      </c>
      <c r="B303" s="4">
        <v>100.1</v>
      </c>
      <c r="C303" s="5">
        <v>3.49E-3</v>
      </c>
      <c r="D303" s="5">
        <v>0.17460000000000001</v>
      </c>
    </row>
    <row r="304" spans="1:4">
      <c r="A304" s="3">
        <v>43160</v>
      </c>
      <c r="B304" s="4">
        <v>100.72</v>
      </c>
      <c r="C304" s="5">
        <v>6.1199999999999996E-3</v>
      </c>
      <c r="D304" s="5">
        <v>0.1457</v>
      </c>
    </row>
    <row r="305" spans="1:4">
      <c r="A305" s="3">
        <v>43161</v>
      </c>
      <c r="B305" s="4">
        <v>100.66</v>
      </c>
      <c r="C305" s="5">
        <v>-5.2999999999999998E-4</v>
      </c>
      <c r="D305" s="5">
        <v>0.157</v>
      </c>
    </row>
    <row r="306" spans="1:4">
      <c r="A306" s="3">
        <v>43164</v>
      </c>
      <c r="B306" s="4">
        <v>100.97</v>
      </c>
      <c r="C306" s="5">
        <v>3.0400000000000002E-3</v>
      </c>
      <c r="D306" s="5">
        <v>0.13769999999999999</v>
      </c>
    </row>
    <row r="307" spans="1:4">
      <c r="A307" s="3">
        <v>43165</v>
      </c>
      <c r="B307" s="4">
        <v>100.87</v>
      </c>
      <c r="C307" s="5">
        <v>-1.0300000000000001E-3</v>
      </c>
      <c r="D307" s="5">
        <v>0.1186</v>
      </c>
    </row>
    <row r="308" spans="1:4">
      <c r="A308" s="3">
        <v>43166</v>
      </c>
      <c r="B308" s="4">
        <v>99.86</v>
      </c>
      <c r="C308" s="5">
        <v>-1.0059999999999999E-2</v>
      </c>
      <c r="D308" s="5">
        <v>0.13900000000000001</v>
      </c>
    </row>
    <row r="309" spans="1:4">
      <c r="A309" s="3">
        <v>43167</v>
      </c>
      <c r="B309" s="4">
        <v>98.74</v>
      </c>
      <c r="C309" s="5">
        <v>-1.129E-2</v>
      </c>
      <c r="D309" s="5">
        <v>0.1694</v>
      </c>
    </row>
    <row r="310" spans="1:4">
      <c r="A310" s="3">
        <v>43168</v>
      </c>
      <c r="B310" s="4">
        <v>100.61</v>
      </c>
      <c r="C310" s="5">
        <v>1.8780000000000002E-2</v>
      </c>
      <c r="D310" s="5">
        <v>0.17269999999999999</v>
      </c>
    </row>
    <row r="311" spans="1:4">
      <c r="A311" s="3">
        <v>43171</v>
      </c>
      <c r="B311" s="4">
        <v>101.07</v>
      </c>
      <c r="C311" s="5">
        <v>4.5799999999999999E-3</v>
      </c>
      <c r="D311" s="5">
        <v>0.18720000000000001</v>
      </c>
    </row>
    <row r="312" spans="1:4">
      <c r="A312" s="3">
        <v>43172</v>
      </c>
      <c r="B312" s="4">
        <v>101.88</v>
      </c>
      <c r="C312" s="5">
        <v>7.9699999999999997E-3</v>
      </c>
      <c r="D312" s="5">
        <v>0.1643</v>
      </c>
    </row>
    <row r="313" spans="1:4">
      <c r="A313" s="3">
        <v>43173</v>
      </c>
      <c r="B313" s="4">
        <v>103.33</v>
      </c>
      <c r="C313" s="5">
        <v>1.414E-2</v>
      </c>
      <c r="D313" s="5">
        <v>0.20630000000000001</v>
      </c>
    </row>
    <row r="314" spans="1:4">
      <c r="A314" s="3">
        <v>43174</v>
      </c>
      <c r="B314" s="4">
        <v>104.09</v>
      </c>
      <c r="C314" s="5">
        <v>7.3299999999999997E-3</v>
      </c>
      <c r="D314" s="5">
        <v>0.20050000000000001</v>
      </c>
    </row>
    <row r="315" spans="1:4">
      <c r="A315" s="3">
        <v>43175</v>
      </c>
      <c r="B315" s="4">
        <v>103.92</v>
      </c>
      <c r="C315" s="5">
        <v>-1.67E-3</v>
      </c>
      <c r="D315" s="5">
        <v>0.18440000000000001</v>
      </c>
    </row>
    <row r="316" spans="1:4">
      <c r="A316" s="3">
        <v>43178</v>
      </c>
      <c r="B316" s="4">
        <v>102.86</v>
      </c>
      <c r="C316" s="5">
        <v>-1.018E-2</v>
      </c>
      <c r="D316" s="5">
        <v>0.19819999999999999</v>
      </c>
    </row>
    <row r="317" spans="1:4">
      <c r="A317" s="3">
        <v>43179</v>
      </c>
      <c r="B317" s="4">
        <v>101.84</v>
      </c>
      <c r="C317" s="5">
        <v>-9.9500000000000005E-3</v>
      </c>
      <c r="D317" s="5">
        <v>0.2056</v>
      </c>
    </row>
    <row r="318" spans="1:4">
      <c r="A318" s="3">
        <v>43180</v>
      </c>
      <c r="B318" s="4">
        <v>101.5</v>
      </c>
      <c r="C318" s="5">
        <v>-3.4099999999999998E-3</v>
      </c>
      <c r="D318" s="5">
        <v>0.19270000000000001</v>
      </c>
    </row>
    <row r="319" spans="1:4">
      <c r="A319" s="3">
        <v>43181</v>
      </c>
      <c r="B319" s="4">
        <v>101.21</v>
      </c>
      <c r="C319" s="5">
        <v>-2.8500000000000001E-3</v>
      </c>
      <c r="D319" s="5">
        <v>0.18509999999999999</v>
      </c>
    </row>
    <row r="320" spans="1:4">
      <c r="A320" s="3">
        <v>43182</v>
      </c>
      <c r="B320" s="4">
        <v>101.56</v>
      </c>
      <c r="C320" s="5">
        <v>3.48E-3</v>
      </c>
      <c r="D320" s="5">
        <v>0.1686</v>
      </c>
    </row>
    <row r="321" spans="1:4">
      <c r="A321" s="3">
        <v>43185</v>
      </c>
      <c r="B321" s="4">
        <v>101.62</v>
      </c>
      <c r="C321" s="5">
        <v>5.5999999999999995E-4</v>
      </c>
      <c r="D321" s="5">
        <v>0.18459999999999999</v>
      </c>
    </row>
    <row r="322" spans="1:4">
      <c r="A322" s="3">
        <v>43186</v>
      </c>
      <c r="B322" s="4">
        <v>102.92</v>
      </c>
      <c r="C322" s="5">
        <v>1.272E-2</v>
      </c>
      <c r="D322" s="5">
        <v>0.16500000000000001</v>
      </c>
    </row>
    <row r="323" spans="1:4">
      <c r="A323" s="3">
        <v>43187</v>
      </c>
      <c r="B323" s="4">
        <v>100.65</v>
      </c>
      <c r="C323" s="5">
        <v>-2.2259999999999999E-2</v>
      </c>
      <c r="D323" s="5">
        <v>0.16109999999999999</v>
      </c>
    </row>
    <row r="324" spans="1:4">
      <c r="A324" s="3">
        <v>43188</v>
      </c>
      <c r="B324" s="4">
        <v>101.22</v>
      </c>
      <c r="C324" s="5">
        <v>5.6100000000000004E-3</v>
      </c>
      <c r="D324" s="5">
        <v>0.17280000000000001</v>
      </c>
    </row>
    <row r="325" spans="1:4">
      <c r="A325" s="3">
        <v>43189</v>
      </c>
      <c r="B325" s="4">
        <v>102.68</v>
      </c>
      <c r="C325" s="5">
        <v>1.435E-2</v>
      </c>
      <c r="D325" s="5">
        <v>0.16289999999999999</v>
      </c>
    </row>
    <row r="326" spans="1:4">
      <c r="A326" s="3">
        <v>43192</v>
      </c>
      <c r="B326" s="4">
        <v>101.37</v>
      </c>
      <c r="C326" s="5">
        <v>-1.29E-2</v>
      </c>
      <c r="D326" s="5">
        <v>0.1797</v>
      </c>
    </row>
    <row r="327" spans="1:4">
      <c r="A327" s="3">
        <v>43193</v>
      </c>
      <c r="B327" s="4">
        <v>102.5</v>
      </c>
      <c r="C327" s="5">
        <v>1.115E-2</v>
      </c>
      <c r="D327" s="5">
        <v>0.193</v>
      </c>
    </row>
    <row r="328" spans="1:4">
      <c r="A328" s="3">
        <v>43194</v>
      </c>
      <c r="B328" s="4">
        <v>102.7</v>
      </c>
      <c r="C328" s="5">
        <v>1.92E-3</v>
      </c>
      <c r="D328" s="5">
        <v>0.21510000000000001</v>
      </c>
    </row>
    <row r="329" spans="1:4">
      <c r="A329" s="3">
        <v>43195</v>
      </c>
      <c r="B329" s="4">
        <v>101.73</v>
      </c>
      <c r="C329" s="5">
        <v>-9.5300000000000003E-3</v>
      </c>
      <c r="D329" s="5">
        <v>0.21970000000000001</v>
      </c>
    </row>
    <row r="330" spans="1:4">
      <c r="A330" s="3">
        <v>43196</v>
      </c>
      <c r="B330" s="4">
        <v>102.42</v>
      </c>
      <c r="C330" s="5">
        <v>6.8500000000000002E-3</v>
      </c>
      <c r="D330" s="5">
        <v>0.1832</v>
      </c>
    </row>
    <row r="331" spans="1:4">
      <c r="A331" s="3">
        <v>43199</v>
      </c>
      <c r="B331" s="4">
        <v>101.74</v>
      </c>
      <c r="C331" s="5">
        <v>-6.7400000000000003E-3</v>
      </c>
      <c r="D331" s="5">
        <v>0.17030000000000001</v>
      </c>
    </row>
    <row r="332" spans="1:4">
      <c r="A332" s="3">
        <v>43200</v>
      </c>
      <c r="B332" s="4">
        <v>102.64</v>
      </c>
      <c r="C332" s="5">
        <v>8.8299999999999993E-3</v>
      </c>
      <c r="D332" s="5">
        <v>0.13669999999999999</v>
      </c>
    </row>
    <row r="333" spans="1:4">
      <c r="A333" s="3">
        <v>43201</v>
      </c>
      <c r="B333" s="4">
        <v>101.29</v>
      </c>
      <c r="C333" s="5">
        <v>-1.324E-2</v>
      </c>
      <c r="D333" s="5">
        <v>0.15379999999999999</v>
      </c>
    </row>
    <row r="334" spans="1:4">
      <c r="A334" s="3">
        <v>43202</v>
      </c>
      <c r="B334" s="4">
        <v>101.96</v>
      </c>
      <c r="C334" s="5">
        <v>6.6100000000000004E-3</v>
      </c>
      <c r="D334" s="5">
        <v>0.16639999999999999</v>
      </c>
    </row>
    <row r="335" spans="1:4">
      <c r="A335" s="3">
        <v>43203</v>
      </c>
      <c r="B335" s="4">
        <v>102.32</v>
      </c>
      <c r="C335" s="5">
        <v>3.5500000000000002E-3</v>
      </c>
      <c r="D335" s="5">
        <v>0.18540000000000001</v>
      </c>
    </row>
    <row r="336" spans="1:4">
      <c r="A336" s="3">
        <v>43206</v>
      </c>
      <c r="B336" s="4">
        <v>101</v>
      </c>
      <c r="C336" s="5">
        <v>-1.2970000000000001E-2</v>
      </c>
      <c r="D336" s="5">
        <v>0.1542</v>
      </c>
    </row>
    <row r="337" spans="1:4">
      <c r="A337" s="3">
        <v>43207</v>
      </c>
      <c r="B337" s="4">
        <v>101.09</v>
      </c>
      <c r="C337" s="5">
        <v>8.5999999999999998E-4</v>
      </c>
      <c r="D337" s="5">
        <v>0.2102</v>
      </c>
    </row>
    <row r="338" spans="1:4">
      <c r="A338" s="3">
        <v>43208</v>
      </c>
      <c r="B338" s="4">
        <v>101.59</v>
      </c>
      <c r="C338" s="5">
        <v>4.9300000000000004E-3</v>
      </c>
      <c r="D338" s="5">
        <v>0.20630000000000001</v>
      </c>
    </row>
    <row r="339" spans="1:4">
      <c r="A339" s="3">
        <v>43209</v>
      </c>
      <c r="B339" s="4">
        <v>101.66</v>
      </c>
      <c r="C339" s="5">
        <v>6.4999999999999997E-4</v>
      </c>
      <c r="D339" s="5">
        <v>0.2014</v>
      </c>
    </row>
    <row r="340" spans="1:4">
      <c r="A340" s="3">
        <v>43210</v>
      </c>
      <c r="B340" s="4">
        <v>102.5</v>
      </c>
      <c r="C340" s="5">
        <v>8.2299999999999995E-3</v>
      </c>
      <c r="D340" s="5">
        <v>0.23549999999999999</v>
      </c>
    </row>
    <row r="341" spans="1:4">
      <c r="A341" s="3">
        <v>43213</v>
      </c>
      <c r="B341" s="4">
        <v>103.98</v>
      </c>
      <c r="C341" s="5">
        <v>1.4370000000000001E-2</v>
      </c>
      <c r="D341" s="5">
        <v>0.2364</v>
      </c>
    </row>
    <row r="342" spans="1:4">
      <c r="A342" s="3">
        <v>43214</v>
      </c>
      <c r="B342" s="4">
        <v>104.64</v>
      </c>
      <c r="C342" s="5">
        <v>6.3600000000000002E-3</v>
      </c>
      <c r="D342" s="5">
        <v>0.23100000000000001</v>
      </c>
    </row>
    <row r="343" spans="1:4">
      <c r="A343" s="3">
        <v>43215</v>
      </c>
      <c r="B343" s="4">
        <v>103.4</v>
      </c>
      <c r="C343" s="5">
        <v>-1.193E-2</v>
      </c>
      <c r="D343" s="5">
        <v>0.2014</v>
      </c>
    </row>
    <row r="344" spans="1:4">
      <c r="A344" s="3">
        <v>43216</v>
      </c>
      <c r="B344" s="4">
        <v>103.38</v>
      </c>
      <c r="C344" s="5">
        <v>-2.5000000000000001E-4</v>
      </c>
      <c r="D344" s="5">
        <v>0.21890000000000001</v>
      </c>
    </row>
    <row r="345" spans="1:4">
      <c r="A345" s="3">
        <v>43217</v>
      </c>
      <c r="B345" s="4">
        <v>104.02</v>
      </c>
      <c r="C345" s="5">
        <v>6.2500000000000003E-3</v>
      </c>
      <c r="D345" s="5">
        <v>0.18779999999999999</v>
      </c>
    </row>
    <row r="346" spans="1:4">
      <c r="A346" s="3">
        <v>43220</v>
      </c>
      <c r="B346" s="4">
        <v>104.95</v>
      </c>
      <c r="C346" s="5">
        <v>8.8999999999999999E-3</v>
      </c>
      <c r="D346" s="5">
        <v>0.19470000000000001</v>
      </c>
    </row>
    <row r="347" spans="1:4">
      <c r="A347" s="3">
        <v>43221</v>
      </c>
      <c r="B347" s="4">
        <v>102.29</v>
      </c>
      <c r="C347" s="5">
        <v>-2.5760000000000002E-2</v>
      </c>
      <c r="D347" s="5">
        <v>0.19</v>
      </c>
    </row>
    <row r="348" spans="1:4">
      <c r="A348" s="3">
        <v>43222</v>
      </c>
      <c r="B348" s="4">
        <v>102.29</v>
      </c>
      <c r="C348" s="5">
        <v>8.0000000000000007E-5</v>
      </c>
      <c r="D348" s="5">
        <v>0.17330000000000001</v>
      </c>
    </row>
    <row r="349" spans="1:4">
      <c r="A349" s="3">
        <v>43223</v>
      </c>
      <c r="B349" s="4">
        <v>101.15</v>
      </c>
      <c r="C349" s="5">
        <v>-1.1259999999999999E-2</v>
      </c>
      <c r="D349" s="5">
        <v>0.17549999999999999</v>
      </c>
    </row>
    <row r="350" spans="1:4">
      <c r="A350" s="3">
        <v>43224</v>
      </c>
      <c r="B350" s="4">
        <v>98.99</v>
      </c>
      <c r="C350" s="5">
        <v>-2.1610000000000001E-2</v>
      </c>
      <c r="D350" s="5">
        <v>0.16919999999999999</v>
      </c>
    </row>
    <row r="351" spans="1:4">
      <c r="A351" s="3">
        <v>43227</v>
      </c>
      <c r="B351" s="4">
        <v>97.74</v>
      </c>
      <c r="C351" s="5">
        <v>-1.2670000000000001E-2</v>
      </c>
      <c r="D351" s="5">
        <v>0.1696</v>
      </c>
    </row>
    <row r="352" spans="1:4">
      <c r="A352" s="3">
        <v>43228</v>
      </c>
      <c r="B352" s="4">
        <v>98.31</v>
      </c>
      <c r="C352" s="5">
        <v>5.8399999999999997E-3</v>
      </c>
      <c r="D352" s="5">
        <v>0.16600000000000001</v>
      </c>
    </row>
    <row r="353" spans="1:4">
      <c r="A353" s="3">
        <v>43229</v>
      </c>
      <c r="B353" s="4">
        <v>98.36</v>
      </c>
      <c r="C353" s="5">
        <v>4.4999999999999999E-4</v>
      </c>
      <c r="D353" s="5">
        <v>0.14069999999999999</v>
      </c>
    </row>
    <row r="354" spans="1:4">
      <c r="A354" s="3">
        <v>43230</v>
      </c>
      <c r="B354" s="4">
        <v>98.65</v>
      </c>
      <c r="C354" s="5">
        <v>3.0300000000000001E-3</v>
      </c>
      <c r="D354" s="5">
        <v>0.1575</v>
      </c>
    </row>
    <row r="355" spans="1:4">
      <c r="A355" s="3">
        <v>43231</v>
      </c>
      <c r="B355" s="4">
        <v>99.23</v>
      </c>
      <c r="C355" s="5">
        <v>5.8599999999999998E-3</v>
      </c>
      <c r="D355" s="5">
        <v>0.18140000000000001</v>
      </c>
    </row>
    <row r="356" spans="1:4">
      <c r="A356" s="3">
        <v>43234</v>
      </c>
      <c r="B356" s="4">
        <v>100.74</v>
      </c>
      <c r="C356" s="5">
        <v>1.5010000000000001E-2</v>
      </c>
      <c r="D356" s="5">
        <v>0.183</v>
      </c>
    </row>
    <row r="357" spans="1:4">
      <c r="A357" s="3">
        <v>43235</v>
      </c>
      <c r="B357" s="4">
        <v>101.3</v>
      </c>
      <c r="C357" s="5">
        <v>5.5999999999999999E-3</v>
      </c>
      <c r="D357" s="5">
        <v>0.18379999999999999</v>
      </c>
    </row>
    <row r="358" spans="1:4">
      <c r="A358" s="3">
        <v>43236</v>
      </c>
      <c r="B358" s="4">
        <v>100.46</v>
      </c>
      <c r="C358" s="5">
        <v>-8.3599999999999994E-3</v>
      </c>
      <c r="D358" s="5">
        <v>0.1855</v>
      </c>
    </row>
    <row r="359" spans="1:4">
      <c r="A359" s="3">
        <v>43237</v>
      </c>
      <c r="B359" s="4">
        <v>102.09</v>
      </c>
      <c r="C359" s="5">
        <v>1.6140000000000002E-2</v>
      </c>
      <c r="D359" s="5">
        <v>0.2024</v>
      </c>
    </row>
    <row r="360" spans="1:4">
      <c r="A360" s="3">
        <v>43238</v>
      </c>
      <c r="B360" s="4">
        <v>101.82</v>
      </c>
      <c r="C360" s="5">
        <v>-2.7200000000000002E-3</v>
      </c>
      <c r="D360" s="5">
        <v>0.16880000000000001</v>
      </c>
    </row>
    <row r="361" spans="1:4">
      <c r="A361" s="3">
        <v>43241</v>
      </c>
      <c r="B361" s="4">
        <v>100.78</v>
      </c>
      <c r="C361" s="5">
        <v>-1.022E-2</v>
      </c>
      <c r="D361" s="5">
        <v>0.1762</v>
      </c>
    </row>
    <row r="362" spans="1:4">
      <c r="A362" s="3">
        <v>43242</v>
      </c>
      <c r="B362" s="4">
        <v>100.85</v>
      </c>
      <c r="C362" s="5">
        <v>7.3999999999999999E-4</v>
      </c>
      <c r="D362" s="5">
        <v>0.17</v>
      </c>
    </row>
    <row r="363" spans="1:4">
      <c r="A363" s="3">
        <v>43243</v>
      </c>
      <c r="B363" s="4">
        <v>102.26</v>
      </c>
      <c r="C363" s="5">
        <v>1.379E-2</v>
      </c>
      <c r="D363" s="5">
        <v>0.17780000000000001</v>
      </c>
    </row>
    <row r="364" spans="1:4">
      <c r="A364" s="3">
        <v>43244</v>
      </c>
      <c r="B364" s="4">
        <v>104.98</v>
      </c>
      <c r="C364" s="5">
        <v>2.6329999999999999E-2</v>
      </c>
      <c r="D364" s="5">
        <v>0.2019</v>
      </c>
    </row>
    <row r="365" spans="1:4">
      <c r="A365" s="3">
        <v>43245</v>
      </c>
      <c r="B365" s="4">
        <v>105.33</v>
      </c>
      <c r="C365" s="5">
        <v>3.2699999999999999E-3</v>
      </c>
      <c r="D365" s="5">
        <v>0.22650000000000001</v>
      </c>
    </row>
    <row r="366" spans="1:4">
      <c r="A366" s="3">
        <v>43248</v>
      </c>
      <c r="B366" s="4">
        <v>106.42</v>
      </c>
      <c r="C366" s="5">
        <v>1.035E-2</v>
      </c>
      <c r="D366" s="5">
        <v>0.22270000000000001</v>
      </c>
    </row>
    <row r="367" spans="1:4">
      <c r="A367" s="3">
        <v>43249</v>
      </c>
      <c r="B367" s="4">
        <v>107.07</v>
      </c>
      <c r="C367" s="5">
        <v>6.0299999999999998E-3</v>
      </c>
      <c r="D367" s="5">
        <v>0.2248</v>
      </c>
    </row>
    <row r="368" spans="1:4">
      <c r="A368" s="3">
        <v>43250</v>
      </c>
      <c r="B368" s="4">
        <v>108.33</v>
      </c>
      <c r="C368" s="5">
        <v>1.175E-2</v>
      </c>
      <c r="D368" s="5">
        <v>0.21629999999999999</v>
      </c>
    </row>
    <row r="369" spans="1:4">
      <c r="A369" s="3">
        <v>43251</v>
      </c>
      <c r="B369" s="4">
        <v>109.46</v>
      </c>
      <c r="C369" s="5">
        <v>1.039E-2</v>
      </c>
      <c r="D369" s="5">
        <v>0.1822</v>
      </c>
    </row>
    <row r="370" spans="1:4">
      <c r="A370" s="3">
        <v>43252</v>
      </c>
      <c r="B370" s="4">
        <v>110.14</v>
      </c>
      <c r="C370" s="5">
        <v>6.1900000000000002E-3</v>
      </c>
      <c r="D370" s="5">
        <v>0.17860000000000001</v>
      </c>
    </row>
    <row r="371" spans="1:4">
      <c r="A371" s="3">
        <v>43255</v>
      </c>
      <c r="B371" s="4">
        <v>110.37</v>
      </c>
      <c r="C371" s="5">
        <v>2.0300000000000001E-3</v>
      </c>
      <c r="D371" s="5">
        <v>0.18340000000000001</v>
      </c>
    </row>
    <row r="372" spans="1:4">
      <c r="A372" s="3">
        <v>43256</v>
      </c>
      <c r="B372" s="4">
        <v>108.02</v>
      </c>
      <c r="C372" s="5">
        <v>-2.1479999999999999E-2</v>
      </c>
      <c r="D372" s="5">
        <v>0.20599999999999999</v>
      </c>
    </row>
    <row r="373" spans="1:4">
      <c r="A373" s="3">
        <v>43257</v>
      </c>
      <c r="B373" s="4">
        <v>106.84</v>
      </c>
      <c r="C373" s="5">
        <v>-1.099E-2</v>
      </c>
      <c r="D373" s="5">
        <v>0.21129999999999999</v>
      </c>
    </row>
    <row r="374" spans="1:4">
      <c r="A374" s="3">
        <v>43258</v>
      </c>
      <c r="B374" s="4">
        <v>106.12</v>
      </c>
      <c r="C374" s="5">
        <v>-6.7999999999999996E-3</v>
      </c>
      <c r="D374" s="5">
        <v>0.17630000000000001</v>
      </c>
    </row>
    <row r="375" spans="1:4">
      <c r="A375" s="3">
        <v>43259</v>
      </c>
      <c r="B375" s="4">
        <v>107.66</v>
      </c>
      <c r="C375" s="5">
        <v>1.447E-2</v>
      </c>
      <c r="D375" s="5">
        <v>0.17810000000000001</v>
      </c>
    </row>
    <row r="376" spans="1:4">
      <c r="A376" s="3">
        <v>43262</v>
      </c>
      <c r="B376" s="4">
        <v>104.86</v>
      </c>
      <c r="C376" s="5">
        <v>-2.6409999999999999E-2</v>
      </c>
      <c r="D376" s="5">
        <v>0.18240000000000001</v>
      </c>
    </row>
    <row r="377" spans="1:4">
      <c r="A377" s="3">
        <v>43263</v>
      </c>
      <c r="B377" s="4">
        <v>105.25</v>
      </c>
      <c r="C377" s="5">
        <v>3.7000000000000002E-3</v>
      </c>
      <c r="D377" s="5">
        <v>0.1885</v>
      </c>
    </row>
    <row r="378" spans="1:4">
      <c r="A378" s="3">
        <v>43264</v>
      </c>
      <c r="B378" s="4">
        <v>103.52</v>
      </c>
      <c r="C378" s="5">
        <v>-1.6559999999999998E-2</v>
      </c>
      <c r="D378" s="5">
        <v>0.21379999999999999</v>
      </c>
    </row>
    <row r="379" spans="1:4">
      <c r="A379" s="3">
        <v>43265</v>
      </c>
      <c r="B379" s="4">
        <v>102.08</v>
      </c>
      <c r="C379" s="5">
        <v>-1.397E-2</v>
      </c>
      <c r="D379" s="5">
        <v>0.2122</v>
      </c>
    </row>
    <row r="380" spans="1:4">
      <c r="A380" s="3">
        <v>43266</v>
      </c>
      <c r="B380" s="4">
        <v>101.22</v>
      </c>
      <c r="C380" s="5">
        <v>-8.4700000000000001E-3</v>
      </c>
      <c r="D380" s="5">
        <v>0.16120000000000001</v>
      </c>
    </row>
    <row r="381" spans="1:4">
      <c r="A381" s="3">
        <v>43269</v>
      </c>
      <c r="B381" s="4">
        <v>100.04</v>
      </c>
      <c r="C381" s="5">
        <v>-1.175E-2</v>
      </c>
      <c r="D381" s="5">
        <v>0.16450000000000001</v>
      </c>
    </row>
    <row r="382" spans="1:4">
      <c r="A382" s="3">
        <v>43270</v>
      </c>
      <c r="B382" s="4">
        <v>99.98</v>
      </c>
      <c r="C382" s="5">
        <v>-5.6999999999999998E-4</v>
      </c>
      <c r="D382" s="5">
        <v>0.15479999999999999</v>
      </c>
    </row>
    <row r="383" spans="1:4">
      <c r="A383" s="3">
        <v>43271</v>
      </c>
      <c r="B383" s="4">
        <v>98.25</v>
      </c>
      <c r="C383" s="5">
        <v>-1.7440000000000001E-2</v>
      </c>
      <c r="D383" s="5">
        <v>0.17249999999999999</v>
      </c>
    </row>
    <row r="384" spans="1:4">
      <c r="A384" s="3">
        <v>43272</v>
      </c>
      <c r="B384" s="4">
        <v>94.58</v>
      </c>
      <c r="C384" s="5">
        <v>-3.8080000000000003E-2</v>
      </c>
      <c r="D384" s="5">
        <v>0.18410000000000001</v>
      </c>
    </row>
    <row r="385" spans="1:4">
      <c r="A385" s="3">
        <v>43273</v>
      </c>
      <c r="B385" s="4">
        <v>94.53</v>
      </c>
      <c r="C385" s="5">
        <v>-5.5000000000000003E-4</v>
      </c>
      <c r="D385" s="5">
        <v>0.15690000000000001</v>
      </c>
    </row>
    <row r="386" spans="1:4">
      <c r="A386" s="3">
        <v>43276</v>
      </c>
      <c r="B386" s="4">
        <v>96.01</v>
      </c>
      <c r="C386" s="5">
        <v>1.554E-2</v>
      </c>
      <c r="D386" s="5">
        <v>0.1638</v>
      </c>
    </row>
    <row r="387" spans="1:4">
      <c r="A387" s="3">
        <v>43277</v>
      </c>
      <c r="B387" s="4">
        <v>97.65</v>
      </c>
      <c r="C387" s="5">
        <v>1.6969999999999999E-2</v>
      </c>
      <c r="D387" s="5">
        <v>0.14760000000000001</v>
      </c>
    </row>
    <row r="388" spans="1:4">
      <c r="A388" s="3">
        <v>43278</v>
      </c>
      <c r="B388" s="4">
        <v>97.23</v>
      </c>
      <c r="C388" s="5">
        <v>-4.3400000000000001E-3</v>
      </c>
      <c r="D388" s="5">
        <v>0.12770000000000001</v>
      </c>
    </row>
    <row r="389" spans="1:4">
      <c r="A389" s="3">
        <v>43279</v>
      </c>
      <c r="B389" s="4">
        <v>96.27</v>
      </c>
      <c r="C389" s="5">
        <v>-9.9500000000000005E-3</v>
      </c>
      <c r="D389" s="5">
        <v>0.13100000000000001</v>
      </c>
    </row>
    <row r="390" spans="1:4">
      <c r="A390" s="3">
        <v>43280</v>
      </c>
      <c r="B390" s="4">
        <v>95.83</v>
      </c>
      <c r="C390" s="5">
        <v>-4.5599999999999998E-3</v>
      </c>
      <c r="D390" s="5">
        <v>0.1176</v>
      </c>
    </row>
    <row r="391" spans="1:4">
      <c r="A391" s="3">
        <v>43283</v>
      </c>
      <c r="B391" s="4">
        <v>95.63</v>
      </c>
      <c r="C391" s="5">
        <v>-2.1199999999999999E-3</v>
      </c>
      <c r="D391" s="5">
        <v>0.1129</v>
      </c>
    </row>
    <row r="392" spans="1:4">
      <c r="A392" s="3">
        <v>43284</v>
      </c>
      <c r="B392" s="4">
        <v>96.86</v>
      </c>
      <c r="C392" s="5">
        <v>1.281E-2</v>
      </c>
      <c r="D392" s="5">
        <v>0.1361</v>
      </c>
    </row>
    <row r="393" spans="1:4">
      <c r="A393" s="3">
        <v>43285</v>
      </c>
      <c r="B393" s="4">
        <v>98.25</v>
      </c>
      <c r="C393" s="5">
        <v>1.421E-2</v>
      </c>
      <c r="D393" s="5">
        <v>0.13869999999999999</v>
      </c>
    </row>
    <row r="394" spans="1:4">
      <c r="A394" s="3">
        <v>43286</v>
      </c>
      <c r="B394" s="4">
        <v>97.24</v>
      </c>
      <c r="C394" s="5">
        <v>-1.0279999999999999E-2</v>
      </c>
      <c r="D394" s="5">
        <v>0.15229999999999999</v>
      </c>
    </row>
    <row r="395" spans="1:4">
      <c r="A395" s="3">
        <v>43287</v>
      </c>
      <c r="B395" s="4">
        <v>98.38</v>
      </c>
      <c r="C395" s="5">
        <v>1.162E-2</v>
      </c>
      <c r="D395" s="5">
        <v>0.16189999999999999</v>
      </c>
    </row>
    <row r="396" spans="1:4">
      <c r="A396" s="3">
        <v>43290</v>
      </c>
      <c r="B396" s="4">
        <v>98.06</v>
      </c>
      <c r="C396" s="5">
        <v>-3.2200000000000002E-3</v>
      </c>
      <c r="D396" s="5">
        <v>0.16470000000000001</v>
      </c>
    </row>
    <row r="397" spans="1:4">
      <c r="A397" s="3">
        <v>43291</v>
      </c>
      <c r="B397" s="4">
        <v>97.76</v>
      </c>
      <c r="C397" s="5">
        <v>-3.0999999999999999E-3</v>
      </c>
      <c r="D397" s="5">
        <v>0.2049</v>
      </c>
    </row>
    <row r="398" spans="1:4">
      <c r="A398" s="3">
        <v>43292</v>
      </c>
      <c r="B398" s="4">
        <v>98.93</v>
      </c>
      <c r="C398" s="5">
        <v>1.192E-2</v>
      </c>
      <c r="D398" s="5">
        <v>0.20030000000000001</v>
      </c>
    </row>
    <row r="399" spans="1:4">
      <c r="A399" s="3">
        <v>43293</v>
      </c>
      <c r="B399" s="4">
        <v>98.69</v>
      </c>
      <c r="C399" s="5">
        <v>-2.3999999999999998E-3</v>
      </c>
      <c r="D399" s="5">
        <v>0.2092</v>
      </c>
    </row>
    <row r="400" spans="1:4">
      <c r="A400" s="3">
        <v>43294</v>
      </c>
      <c r="B400" s="4">
        <v>98.57</v>
      </c>
      <c r="C400" s="5">
        <v>-1.2099999999999999E-3</v>
      </c>
      <c r="D400" s="5">
        <v>0.21249999999999999</v>
      </c>
    </row>
    <row r="401" spans="1:4">
      <c r="A401" s="3">
        <v>43297</v>
      </c>
      <c r="B401" s="4">
        <v>96.76</v>
      </c>
      <c r="C401" s="5">
        <v>-1.8599999999999998E-2</v>
      </c>
      <c r="D401" s="5">
        <v>0.21110000000000001</v>
      </c>
    </row>
    <row r="402" spans="1:4">
      <c r="A402" s="3">
        <v>43298</v>
      </c>
      <c r="B402" s="4">
        <v>97.32</v>
      </c>
      <c r="C402" s="5">
        <v>5.7600000000000004E-3</v>
      </c>
      <c r="D402" s="5">
        <v>0.19700000000000001</v>
      </c>
    </row>
    <row r="403" spans="1:4">
      <c r="A403" s="3">
        <v>43299</v>
      </c>
      <c r="B403" s="4">
        <v>97.12</v>
      </c>
      <c r="C403" s="5">
        <v>-2.0400000000000001E-3</v>
      </c>
      <c r="D403" s="5">
        <v>0.23760000000000001</v>
      </c>
    </row>
    <row r="404" spans="1:4">
      <c r="A404" s="3">
        <v>43300</v>
      </c>
      <c r="B404" s="4">
        <v>96.25</v>
      </c>
      <c r="C404" s="5">
        <v>-8.9899999999999997E-3</v>
      </c>
      <c r="D404" s="5">
        <v>0.23730000000000001</v>
      </c>
    </row>
    <row r="405" spans="1:4">
      <c r="A405" s="3">
        <v>43301</v>
      </c>
      <c r="B405" s="4">
        <v>97.47</v>
      </c>
      <c r="C405" s="5">
        <v>1.259E-2</v>
      </c>
      <c r="D405" s="5">
        <v>0.23130000000000001</v>
      </c>
    </row>
    <row r="406" spans="1:4">
      <c r="A406" s="3">
        <v>43304</v>
      </c>
      <c r="B406" s="4">
        <v>95.64</v>
      </c>
      <c r="C406" s="5">
        <v>-1.891E-2</v>
      </c>
      <c r="D406" s="5">
        <v>0.2336</v>
      </c>
    </row>
    <row r="407" spans="1:4">
      <c r="A407" s="3">
        <v>43305</v>
      </c>
      <c r="B407" s="4">
        <v>95.34</v>
      </c>
      <c r="C407" s="5">
        <v>-3.2100000000000002E-3</v>
      </c>
      <c r="D407" s="5">
        <v>0.2235</v>
      </c>
    </row>
    <row r="408" spans="1:4">
      <c r="A408" s="3">
        <v>43306</v>
      </c>
      <c r="B408" s="4">
        <v>95.9</v>
      </c>
      <c r="C408" s="5">
        <v>5.9300000000000004E-3</v>
      </c>
      <c r="D408" s="5">
        <v>0.2225</v>
      </c>
    </row>
    <row r="409" spans="1:4">
      <c r="A409" s="3">
        <v>43307</v>
      </c>
      <c r="B409" s="4">
        <v>97.93</v>
      </c>
      <c r="C409" s="5">
        <v>2.095E-2</v>
      </c>
      <c r="D409" s="5">
        <v>0.23749999999999999</v>
      </c>
    </row>
    <row r="410" spans="1:4">
      <c r="A410" s="3">
        <v>43308</v>
      </c>
      <c r="B410" s="4">
        <v>97.12</v>
      </c>
      <c r="C410" s="5">
        <v>-8.3300000000000006E-3</v>
      </c>
      <c r="D410" s="5">
        <v>0.23760000000000001</v>
      </c>
    </row>
    <row r="411" spans="1:4">
      <c r="A411" s="3">
        <v>43311</v>
      </c>
      <c r="B411" s="4">
        <v>97.28</v>
      </c>
      <c r="C411" s="5">
        <v>1.6199999999999999E-3</v>
      </c>
      <c r="D411" s="5">
        <v>0.23419999999999999</v>
      </c>
    </row>
    <row r="412" spans="1:4">
      <c r="A412" s="3">
        <v>43312</v>
      </c>
      <c r="B412" s="4">
        <v>99.38</v>
      </c>
      <c r="C412" s="5">
        <v>2.1350000000000001E-2</v>
      </c>
      <c r="D412" s="5">
        <v>0.25490000000000002</v>
      </c>
    </row>
    <row r="413" spans="1:4">
      <c r="A413" s="3">
        <v>43313</v>
      </c>
      <c r="B413" s="4">
        <v>100.56</v>
      </c>
      <c r="C413" s="5">
        <v>1.1780000000000001E-2</v>
      </c>
      <c r="D413" s="5">
        <v>0.2601</v>
      </c>
    </row>
    <row r="414" spans="1:4">
      <c r="A414" s="3">
        <v>43314</v>
      </c>
      <c r="B414" s="4">
        <v>99.37</v>
      </c>
      <c r="C414" s="5">
        <v>-1.184E-2</v>
      </c>
      <c r="D414" s="5">
        <v>0.24129999999999999</v>
      </c>
    </row>
    <row r="415" spans="1:4">
      <c r="A415" s="3">
        <v>43315</v>
      </c>
      <c r="B415" s="4">
        <v>95.75</v>
      </c>
      <c r="C415" s="5">
        <v>-3.7139999999999999E-2</v>
      </c>
      <c r="D415" s="5">
        <v>0.25530000000000003</v>
      </c>
    </row>
    <row r="416" spans="1:4">
      <c r="A416" s="3">
        <v>43318</v>
      </c>
      <c r="B416" s="4">
        <v>93.94</v>
      </c>
      <c r="C416" s="5">
        <v>-1.9099999999999999E-2</v>
      </c>
      <c r="D416" s="5">
        <v>0.27060000000000001</v>
      </c>
    </row>
    <row r="417" spans="1:4">
      <c r="A417" s="3">
        <v>43319</v>
      </c>
      <c r="B417" s="4">
        <v>93.08</v>
      </c>
      <c r="C417" s="5">
        <v>-9.1500000000000001E-3</v>
      </c>
      <c r="D417" s="5">
        <v>0.21679999999999999</v>
      </c>
    </row>
    <row r="418" spans="1:4">
      <c r="A418" s="3">
        <v>43320</v>
      </c>
      <c r="B418" s="4">
        <v>92.02</v>
      </c>
      <c r="C418" s="5">
        <v>-1.154E-2</v>
      </c>
      <c r="D418" s="5">
        <v>0.18540000000000001</v>
      </c>
    </row>
    <row r="419" spans="1:4">
      <c r="A419" s="3">
        <v>43321</v>
      </c>
      <c r="B419" s="4">
        <v>92.28</v>
      </c>
      <c r="C419" s="5">
        <v>2.82E-3</v>
      </c>
      <c r="D419" s="5">
        <v>0.18629999999999999</v>
      </c>
    </row>
    <row r="420" spans="1:4">
      <c r="A420" s="3">
        <v>43322</v>
      </c>
      <c r="B420" s="4">
        <v>94.15</v>
      </c>
      <c r="C420" s="5">
        <v>2.0119999999999999E-2</v>
      </c>
      <c r="D420" s="5">
        <v>0.216</v>
      </c>
    </row>
    <row r="421" spans="1:4">
      <c r="A421" s="3">
        <v>43325</v>
      </c>
      <c r="B421" s="4">
        <v>95.15</v>
      </c>
      <c r="C421" s="5">
        <v>1.0540000000000001E-2</v>
      </c>
      <c r="D421" s="5">
        <v>0.19020000000000001</v>
      </c>
    </row>
    <row r="422" spans="1:4">
      <c r="A422" s="3">
        <v>43326</v>
      </c>
      <c r="B422" s="4">
        <v>96.52</v>
      </c>
      <c r="C422" s="5">
        <v>1.4319999999999999E-2</v>
      </c>
      <c r="D422" s="5">
        <v>0.2145</v>
      </c>
    </row>
    <row r="423" spans="1:4">
      <c r="A423" s="3">
        <v>43327</v>
      </c>
      <c r="B423" s="4">
        <v>95.53</v>
      </c>
      <c r="C423" s="5">
        <v>-1.034E-2</v>
      </c>
      <c r="D423" s="5">
        <v>0.18440000000000001</v>
      </c>
    </row>
    <row r="424" spans="1:4">
      <c r="A424" s="3">
        <v>43328</v>
      </c>
      <c r="B424" s="4">
        <v>96.39</v>
      </c>
      <c r="C424" s="5">
        <v>8.9499999999999996E-3</v>
      </c>
      <c r="D424" s="5">
        <v>0.19009999999999999</v>
      </c>
    </row>
    <row r="425" spans="1:4">
      <c r="A425" s="3">
        <v>43329</v>
      </c>
      <c r="B425" s="4">
        <v>94.61</v>
      </c>
      <c r="C425" s="5">
        <v>-1.857E-2</v>
      </c>
      <c r="D425" s="5">
        <v>0.2261</v>
      </c>
    </row>
    <row r="426" spans="1:4">
      <c r="A426" s="3">
        <v>43332</v>
      </c>
      <c r="B426" s="4">
        <v>94.52</v>
      </c>
      <c r="C426" s="5">
        <v>-9.7000000000000005E-4</v>
      </c>
      <c r="D426" s="5">
        <v>0.22370000000000001</v>
      </c>
    </row>
    <row r="427" spans="1:4">
      <c r="A427" s="3">
        <v>43333</v>
      </c>
      <c r="B427" s="4">
        <v>94.31</v>
      </c>
      <c r="C427" s="5">
        <v>-2.2499999999999998E-3</v>
      </c>
      <c r="D427" s="5">
        <v>0.17949999999999999</v>
      </c>
    </row>
    <row r="428" spans="1:4">
      <c r="A428" s="3">
        <v>43334</v>
      </c>
      <c r="B428" s="4">
        <v>96.17</v>
      </c>
      <c r="C428" s="5">
        <v>1.9539999999999998E-2</v>
      </c>
      <c r="D428" s="5">
        <v>0.16900000000000001</v>
      </c>
    </row>
    <row r="429" spans="1:4">
      <c r="A429" s="3">
        <v>43335</v>
      </c>
      <c r="B429" s="4">
        <v>96.49</v>
      </c>
      <c r="C429" s="5">
        <v>3.29E-3</v>
      </c>
      <c r="D429" s="5">
        <v>0.14599999999999999</v>
      </c>
    </row>
    <row r="430" spans="1:4">
      <c r="A430" s="3">
        <v>43336</v>
      </c>
      <c r="B430" s="4">
        <v>97.09</v>
      </c>
      <c r="C430" s="5">
        <v>6.2199999999999998E-3</v>
      </c>
      <c r="D430" s="5">
        <v>0.1696</v>
      </c>
    </row>
    <row r="431" spans="1:4">
      <c r="A431" s="3">
        <v>43339</v>
      </c>
      <c r="B431" s="4">
        <v>96.32</v>
      </c>
      <c r="C431" s="5">
        <v>-7.9699999999999997E-3</v>
      </c>
      <c r="D431" s="5">
        <v>0.17979999999999999</v>
      </c>
    </row>
    <row r="432" spans="1:4">
      <c r="A432" s="3">
        <v>43340</v>
      </c>
      <c r="B432" s="4">
        <v>96.24</v>
      </c>
      <c r="C432" s="5">
        <v>-8.0999999999999996E-4</v>
      </c>
      <c r="D432" s="5">
        <v>0.17219999999999999</v>
      </c>
    </row>
    <row r="433" spans="1:4">
      <c r="A433" s="3">
        <v>43341</v>
      </c>
      <c r="B433" s="4">
        <v>96.47</v>
      </c>
      <c r="C433" s="5">
        <v>2.33E-3</v>
      </c>
      <c r="D433" s="5">
        <v>0.16389999999999999</v>
      </c>
    </row>
    <row r="434" spans="1:4">
      <c r="A434" s="3">
        <v>43342</v>
      </c>
      <c r="B434" s="4">
        <v>96.54</v>
      </c>
      <c r="C434" s="5">
        <v>7.7999999999999999E-4</v>
      </c>
      <c r="D434" s="5">
        <v>0.18340000000000001</v>
      </c>
    </row>
    <row r="435" spans="1:4">
      <c r="A435" s="3">
        <v>43343</v>
      </c>
      <c r="B435" s="4">
        <v>95.32</v>
      </c>
      <c r="C435" s="5">
        <v>-1.268E-2</v>
      </c>
      <c r="D435" s="5">
        <v>0.1837</v>
      </c>
    </row>
    <row r="436" spans="1:4">
      <c r="A436" s="3">
        <v>43346</v>
      </c>
      <c r="B436" s="4">
        <v>94.33</v>
      </c>
      <c r="C436" s="5">
        <v>-1.051E-2</v>
      </c>
      <c r="D436" s="5">
        <v>0.18970000000000001</v>
      </c>
    </row>
    <row r="437" spans="1:4">
      <c r="A437" s="3">
        <v>43347</v>
      </c>
      <c r="B437" s="4">
        <v>95.14</v>
      </c>
      <c r="C437" s="5">
        <v>8.5699999999999995E-3</v>
      </c>
      <c r="D437" s="5">
        <v>0.14699999999999999</v>
      </c>
    </row>
    <row r="438" spans="1:4">
      <c r="A438" s="3">
        <v>43348</v>
      </c>
      <c r="B438" s="4">
        <v>95.32</v>
      </c>
      <c r="C438" s="5">
        <v>1.8600000000000001E-3</v>
      </c>
      <c r="D438" s="5">
        <v>0.16259999999999999</v>
      </c>
    </row>
    <row r="439" spans="1:4">
      <c r="A439" s="3">
        <v>43349</v>
      </c>
      <c r="B439" s="4">
        <v>94.94</v>
      </c>
      <c r="C439" s="5">
        <v>-3.96E-3</v>
      </c>
      <c r="D439" s="5">
        <v>0.18490000000000001</v>
      </c>
    </row>
    <row r="440" spans="1:4">
      <c r="A440" s="3">
        <v>43350</v>
      </c>
      <c r="B440" s="4">
        <v>94.33</v>
      </c>
      <c r="C440" s="5">
        <v>-6.4099999999999999E-3</v>
      </c>
      <c r="D440" s="5">
        <v>0.16880000000000001</v>
      </c>
    </row>
    <row r="441" spans="1:4">
      <c r="A441" s="3">
        <v>43353</v>
      </c>
      <c r="B441" s="4">
        <v>96.24</v>
      </c>
      <c r="C441" s="5">
        <v>1.9990000000000001E-2</v>
      </c>
      <c r="D441" s="5">
        <v>0.1789</v>
      </c>
    </row>
    <row r="442" spans="1:4">
      <c r="A442" s="3">
        <v>43354</v>
      </c>
      <c r="B442" s="4">
        <v>95.57</v>
      </c>
      <c r="C442" s="5">
        <v>-6.9800000000000001E-3</v>
      </c>
      <c r="D442" s="5">
        <v>0.16919999999999999</v>
      </c>
    </row>
    <row r="443" spans="1:4">
      <c r="A443" s="3">
        <v>43355</v>
      </c>
      <c r="B443" s="4">
        <v>95.04</v>
      </c>
      <c r="C443" s="5">
        <v>-5.5599999999999998E-3</v>
      </c>
      <c r="D443" s="5">
        <v>0.16930000000000001</v>
      </c>
    </row>
    <row r="444" spans="1:4">
      <c r="A444" s="3">
        <v>43356</v>
      </c>
      <c r="B444" s="4">
        <v>97.9</v>
      </c>
      <c r="C444" s="5">
        <v>2.972E-2</v>
      </c>
      <c r="D444" s="5">
        <v>0.20519999999999999</v>
      </c>
    </row>
    <row r="445" spans="1:4">
      <c r="A445" s="3">
        <v>43357</v>
      </c>
      <c r="B445" s="4">
        <v>99.34</v>
      </c>
      <c r="C445" s="5">
        <v>1.457E-2</v>
      </c>
      <c r="D445" s="5">
        <v>0.1996</v>
      </c>
    </row>
    <row r="446" spans="1:4">
      <c r="A446" s="3">
        <v>43360</v>
      </c>
      <c r="B446" s="4">
        <v>99.18</v>
      </c>
      <c r="C446" s="5">
        <v>-1.66E-3</v>
      </c>
      <c r="D446" s="5">
        <v>0.17299999999999999</v>
      </c>
    </row>
    <row r="447" spans="1:4">
      <c r="A447" s="3">
        <v>43361</v>
      </c>
      <c r="B447" s="4">
        <v>98.28</v>
      </c>
      <c r="C447" s="5">
        <v>-9.0799999999999995E-3</v>
      </c>
      <c r="D447" s="5">
        <v>0.15770000000000001</v>
      </c>
    </row>
    <row r="448" spans="1:4">
      <c r="A448" s="3">
        <v>43362</v>
      </c>
      <c r="B448" s="4">
        <v>98.34</v>
      </c>
      <c r="C448" s="5">
        <v>6.0999999999999997E-4</v>
      </c>
      <c r="D448" s="5">
        <v>0.16309999999999999</v>
      </c>
    </row>
    <row r="449" spans="1:4">
      <c r="A449" s="3">
        <v>43363</v>
      </c>
      <c r="B449" s="4">
        <v>99.55</v>
      </c>
      <c r="C449" s="5">
        <v>1.2279999999999999E-2</v>
      </c>
      <c r="D449" s="5">
        <v>0.15079999999999999</v>
      </c>
    </row>
    <row r="450" spans="1:4">
      <c r="A450" s="3">
        <v>43364</v>
      </c>
      <c r="B450" s="4">
        <v>99.4</v>
      </c>
      <c r="C450" s="5">
        <v>-1.5200000000000001E-3</v>
      </c>
      <c r="D450" s="5">
        <v>0.16700000000000001</v>
      </c>
    </row>
    <row r="451" spans="1:4">
      <c r="A451" s="3">
        <v>43367</v>
      </c>
      <c r="B451" s="4">
        <v>100</v>
      </c>
      <c r="C451" s="5">
        <v>5.9699999999999996E-3</v>
      </c>
      <c r="D451" s="5">
        <v>0.1772</v>
      </c>
    </row>
    <row r="452" spans="1:4">
      <c r="A452" s="3">
        <v>43368</v>
      </c>
      <c r="B452" s="4">
        <v>98.14</v>
      </c>
      <c r="C452" s="5">
        <v>-1.8759999999999999E-2</v>
      </c>
      <c r="D452" s="5">
        <v>0.1716</v>
      </c>
    </row>
    <row r="453" spans="1:4">
      <c r="A453" s="3">
        <v>43369</v>
      </c>
      <c r="B453" s="4">
        <v>97.39</v>
      </c>
      <c r="C453" s="5">
        <v>-7.7000000000000002E-3</v>
      </c>
      <c r="D453" s="5">
        <v>0.18429999999999999</v>
      </c>
    </row>
    <row r="454" spans="1:4">
      <c r="A454" s="3">
        <v>43370</v>
      </c>
      <c r="B454" s="4">
        <v>97.58</v>
      </c>
      <c r="C454" s="5">
        <v>1.97E-3</v>
      </c>
      <c r="D454" s="5">
        <v>0.1719</v>
      </c>
    </row>
    <row r="455" spans="1:4">
      <c r="A455" s="3">
        <v>43371</v>
      </c>
      <c r="B455" s="4">
        <v>97.92</v>
      </c>
      <c r="C455" s="5">
        <v>3.5100000000000001E-3</v>
      </c>
      <c r="D455" s="5">
        <v>0.20730000000000001</v>
      </c>
    </row>
    <row r="456" spans="1:4">
      <c r="A456" s="3">
        <v>43374</v>
      </c>
      <c r="B456" s="4">
        <v>95.76</v>
      </c>
      <c r="C456" s="5">
        <v>-2.2360000000000001E-2</v>
      </c>
      <c r="D456" s="5">
        <v>0.2092</v>
      </c>
    </row>
    <row r="457" spans="1:4">
      <c r="A457" s="3">
        <v>43375</v>
      </c>
      <c r="B457" s="4">
        <v>96.11</v>
      </c>
      <c r="C457" s="5">
        <v>3.64E-3</v>
      </c>
      <c r="D457" s="5">
        <v>0.2039</v>
      </c>
    </row>
    <row r="458" spans="1:4">
      <c r="A458" s="3">
        <v>43376</v>
      </c>
      <c r="B458" s="4">
        <v>97.34</v>
      </c>
      <c r="C458" s="5">
        <v>1.277E-2</v>
      </c>
      <c r="D458" s="5">
        <v>0.21310000000000001</v>
      </c>
    </row>
    <row r="459" spans="1:4">
      <c r="A459" s="3">
        <v>43377</v>
      </c>
      <c r="B459" s="4">
        <v>97.58</v>
      </c>
      <c r="C459" s="5">
        <v>2.49E-3</v>
      </c>
      <c r="D459" s="5">
        <v>0.21060000000000001</v>
      </c>
    </row>
    <row r="460" spans="1:4">
      <c r="A460" s="3">
        <v>43378</v>
      </c>
      <c r="B460" s="4">
        <v>97.09</v>
      </c>
      <c r="C460" s="5">
        <v>-5.13E-3</v>
      </c>
      <c r="D460" s="5">
        <v>0.20419999999999999</v>
      </c>
    </row>
    <row r="461" spans="1:4">
      <c r="A461" s="3">
        <v>43381</v>
      </c>
      <c r="B461" s="4">
        <v>96.61</v>
      </c>
      <c r="C461" s="5">
        <v>-4.9100000000000003E-3</v>
      </c>
      <c r="D461" s="5">
        <v>0.19639999999999999</v>
      </c>
    </row>
    <row r="462" spans="1:4">
      <c r="A462" s="3">
        <v>43382</v>
      </c>
      <c r="B462" s="4">
        <v>96.89</v>
      </c>
      <c r="C462" s="5">
        <v>2.8700000000000002E-3</v>
      </c>
      <c r="D462" s="5">
        <v>0.22500000000000001</v>
      </c>
    </row>
    <row r="463" spans="1:4">
      <c r="A463" s="3">
        <v>43383</v>
      </c>
      <c r="B463" s="4">
        <v>96.66</v>
      </c>
      <c r="C463" s="5">
        <v>-2.3600000000000001E-3</v>
      </c>
      <c r="D463" s="5">
        <v>0.17910000000000001</v>
      </c>
    </row>
    <row r="464" spans="1:4">
      <c r="A464" s="3">
        <v>43384</v>
      </c>
      <c r="B464" s="4">
        <v>96.68</v>
      </c>
      <c r="C464" s="5">
        <v>2.5999999999999998E-4</v>
      </c>
      <c r="D464" s="5">
        <v>0.1628</v>
      </c>
    </row>
    <row r="465" spans="1:4">
      <c r="A465" s="3">
        <v>43385</v>
      </c>
      <c r="B465" s="4">
        <v>98.85</v>
      </c>
      <c r="C465" s="5">
        <v>2.2169999999999999E-2</v>
      </c>
      <c r="D465" s="5">
        <v>0.18010000000000001</v>
      </c>
    </row>
    <row r="466" spans="1:4">
      <c r="A466" s="3">
        <v>43388</v>
      </c>
      <c r="B466" s="4">
        <v>98.73</v>
      </c>
      <c r="C466" s="5">
        <v>-1.1900000000000001E-3</v>
      </c>
      <c r="D466" s="5">
        <v>0.17119999999999999</v>
      </c>
    </row>
    <row r="467" spans="1:4">
      <c r="A467" s="3">
        <v>43389</v>
      </c>
      <c r="B467" s="4">
        <v>100.07</v>
      </c>
      <c r="C467" s="5">
        <v>1.34E-2</v>
      </c>
      <c r="D467" s="5">
        <v>0.15310000000000001</v>
      </c>
    </row>
    <row r="468" spans="1:4">
      <c r="A468" s="3">
        <v>43390</v>
      </c>
      <c r="B468" s="4">
        <v>100.03</v>
      </c>
      <c r="C468" s="5">
        <v>-3.2000000000000003E-4</v>
      </c>
      <c r="D468" s="5">
        <v>0.1855</v>
      </c>
    </row>
    <row r="469" spans="1:4">
      <c r="A469" s="3">
        <v>43391</v>
      </c>
      <c r="B469" s="4">
        <v>99.53</v>
      </c>
      <c r="C469" s="5">
        <v>-5.0499999999999998E-3</v>
      </c>
      <c r="D469" s="5">
        <v>0.19089999999999999</v>
      </c>
    </row>
    <row r="470" spans="1:4">
      <c r="A470" s="3">
        <v>43392</v>
      </c>
      <c r="B470" s="4">
        <v>98.34</v>
      </c>
      <c r="C470" s="5">
        <v>-1.204E-2</v>
      </c>
      <c r="D470" s="5">
        <v>0.18729999999999999</v>
      </c>
    </row>
    <row r="471" spans="1:4">
      <c r="A471" s="3">
        <v>43395</v>
      </c>
      <c r="B471" s="4">
        <v>100.64</v>
      </c>
      <c r="C471" s="5">
        <v>2.3140000000000001E-2</v>
      </c>
      <c r="D471" s="5">
        <v>0.1996</v>
      </c>
    </row>
    <row r="472" spans="1:4">
      <c r="A472" s="3">
        <v>43396</v>
      </c>
      <c r="B472" s="4">
        <v>99.18</v>
      </c>
      <c r="C472" s="5">
        <v>-1.46E-2</v>
      </c>
      <c r="D472" s="5">
        <v>0.22389999999999999</v>
      </c>
    </row>
    <row r="473" spans="1:4">
      <c r="A473" s="3">
        <v>43397</v>
      </c>
      <c r="B473" s="4">
        <v>98.92</v>
      </c>
      <c r="C473" s="5">
        <v>-2.65E-3</v>
      </c>
      <c r="D473" s="5">
        <v>0.2084</v>
      </c>
    </row>
    <row r="474" spans="1:4">
      <c r="A474" s="3">
        <v>43398</v>
      </c>
      <c r="B474" s="4">
        <v>98.31</v>
      </c>
      <c r="C474" s="5">
        <v>-6.13E-3</v>
      </c>
      <c r="D474" s="5">
        <v>0.19170000000000001</v>
      </c>
    </row>
    <row r="475" spans="1:4">
      <c r="A475" s="3">
        <v>43399</v>
      </c>
      <c r="B475" s="4">
        <v>98.54</v>
      </c>
      <c r="C475" s="5">
        <v>2.2799999999999999E-3</v>
      </c>
      <c r="D475" s="5">
        <v>0.215</v>
      </c>
    </row>
    <row r="476" spans="1:4">
      <c r="A476" s="3">
        <v>43402</v>
      </c>
      <c r="B476" s="4">
        <v>99.88</v>
      </c>
      <c r="C476" s="5">
        <v>1.353E-2</v>
      </c>
      <c r="D476" s="5">
        <v>0.19869999999999999</v>
      </c>
    </row>
    <row r="477" spans="1:4">
      <c r="A477" s="3">
        <v>43403</v>
      </c>
      <c r="B477" s="4">
        <v>97.86</v>
      </c>
      <c r="C477" s="5">
        <v>-2.0410000000000001E-2</v>
      </c>
      <c r="D477" s="5">
        <v>0.22520000000000001</v>
      </c>
    </row>
    <row r="478" spans="1:4">
      <c r="A478" s="3">
        <v>43404</v>
      </c>
      <c r="B478" s="4">
        <v>98.69</v>
      </c>
      <c r="C478" s="5">
        <v>8.43E-3</v>
      </c>
      <c r="D478" s="5">
        <v>0.22570000000000001</v>
      </c>
    </row>
    <row r="479" spans="1:4">
      <c r="A479" s="3">
        <v>43405</v>
      </c>
      <c r="B479" s="4">
        <v>97.83</v>
      </c>
      <c r="C479" s="5">
        <v>-8.7600000000000004E-3</v>
      </c>
      <c r="D479" s="5">
        <v>0.2082</v>
      </c>
    </row>
    <row r="480" spans="1:4">
      <c r="A480" s="3">
        <v>43406</v>
      </c>
      <c r="B480" s="4">
        <v>97.16</v>
      </c>
      <c r="C480" s="5">
        <v>-6.9199999999999999E-3</v>
      </c>
      <c r="D480" s="5">
        <v>0.1852</v>
      </c>
    </row>
    <row r="481" spans="1:4">
      <c r="A481" s="3">
        <v>43409</v>
      </c>
      <c r="B481" s="4">
        <v>94.9</v>
      </c>
      <c r="C481" s="5">
        <v>-2.3529999999999999E-2</v>
      </c>
      <c r="D481" s="5">
        <v>0.183</v>
      </c>
    </row>
    <row r="482" spans="1:4">
      <c r="A482" s="3">
        <v>43410</v>
      </c>
      <c r="B482" s="4">
        <v>96.04</v>
      </c>
      <c r="C482" s="5">
        <v>1.1990000000000001E-2</v>
      </c>
      <c r="D482" s="5">
        <v>0.18440000000000001</v>
      </c>
    </row>
    <row r="483" spans="1:4">
      <c r="A483" s="3">
        <v>43411</v>
      </c>
      <c r="B483" s="4">
        <v>95.69</v>
      </c>
      <c r="C483" s="5">
        <v>-3.7100000000000002E-3</v>
      </c>
      <c r="D483" s="5">
        <v>0.19270000000000001</v>
      </c>
    </row>
    <row r="484" spans="1:4">
      <c r="A484" s="3">
        <v>43412</v>
      </c>
      <c r="B484" s="4">
        <v>97.49</v>
      </c>
      <c r="C484" s="5">
        <v>1.8630000000000001E-2</v>
      </c>
      <c r="D484" s="5">
        <v>0.17780000000000001</v>
      </c>
    </row>
    <row r="485" spans="1:4">
      <c r="A485" s="3">
        <v>43413</v>
      </c>
      <c r="B485" s="4">
        <v>96.92</v>
      </c>
      <c r="C485" s="5">
        <v>-5.7800000000000004E-3</v>
      </c>
      <c r="D485" s="5">
        <v>0.2074</v>
      </c>
    </row>
    <row r="486" spans="1:4">
      <c r="A486" s="3">
        <v>43416</v>
      </c>
      <c r="B486" s="4">
        <v>96.27</v>
      </c>
      <c r="C486" s="5">
        <v>-6.7499999999999999E-3</v>
      </c>
      <c r="D486" s="5">
        <v>0.20069999999999999</v>
      </c>
    </row>
    <row r="487" spans="1:4">
      <c r="A487" s="3">
        <v>43417</v>
      </c>
      <c r="B487" s="4">
        <v>96.02</v>
      </c>
      <c r="C487" s="5">
        <v>-2.66E-3</v>
      </c>
      <c r="D487" s="5">
        <v>0.18720000000000001</v>
      </c>
    </row>
    <row r="488" spans="1:4">
      <c r="A488" s="3">
        <v>43418</v>
      </c>
      <c r="B488" s="4">
        <v>95.21</v>
      </c>
      <c r="C488" s="5">
        <v>-8.4700000000000001E-3</v>
      </c>
      <c r="D488" s="5">
        <v>0.18210000000000001</v>
      </c>
    </row>
    <row r="489" spans="1:4">
      <c r="A489" s="3">
        <v>43419</v>
      </c>
      <c r="B489" s="4">
        <v>95.32</v>
      </c>
      <c r="C489" s="5">
        <v>1.15E-3</v>
      </c>
      <c r="D489" s="5">
        <v>0.18440000000000001</v>
      </c>
    </row>
    <row r="490" spans="1:4">
      <c r="A490" s="3">
        <v>43420</v>
      </c>
      <c r="B490" s="4">
        <v>95.54</v>
      </c>
      <c r="C490" s="5">
        <v>2.3400000000000001E-3</v>
      </c>
      <c r="D490" s="5">
        <v>0.16589999999999999</v>
      </c>
    </row>
    <row r="491" spans="1:4">
      <c r="A491" s="3">
        <v>43423</v>
      </c>
      <c r="B491" s="4">
        <v>96.58</v>
      </c>
      <c r="C491" s="5">
        <v>1.0840000000000001E-2</v>
      </c>
      <c r="D491" s="5">
        <v>0.16350000000000001</v>
      </c>
    </row>
    <row r="492" spans="1:4">
      <c r="A492" s="3">
        <v>43424</v>
      </c>
      <c r="B492" s="4">
        <v>96.23</v>
      </c>
      <c r="C492" s="5">
        <v>-3.5999999999999999E-3</v>
      </c>
      <c r="D492" s="5">
        <v>0.1575</v>
      </c>
    </row>
    <row r="493" spans="1:4">
      <c r="A493" s="3">
        <v>43425</v>
      </c>
      <c r="B493" s="4">
        <v>98.69</v>
      </c>
      <c r="C493" s="5">
        <v>2.5170000000000001E-2</v>
      </c>
      <c r="D493" s="5">
        <v>0.1779</v>
      </c>
    </row>
    <row r="494" spans="1:4">
      <c r="A494" s="3">
        <v>43426</v>
      </c>
      <c r="B494" s="4">
        <v>99.07</v>
      </c>
      <c r="C494" s="5">
        <v>3.8800000000000002E-3</v>
      </c>
      <c r="D494" s="5">
        <v>0.19520000000000001</v>
      </c>
    </row>
    <row r="495" spans="1:4">
      <c r="A495" s="3">
        <v>43427</v>
      </c>
      <c r="B495" s="4">
        <v>97.76</v>
      </c>
      <c r="C495" s="5">
        <v>-1.3270000000000001E-2</v>
      </c>
      <c r="D495" s="5">
        <v>0.21329999999999999</v>
      </c>
    </row>
    <row r="496" spans="1:4">
      <c r="A496" s="3">
        <v>43430</v>
      </c>
      <c r="B496" s="4">
        <v>98.62</v>
      </c>
      <c r="C496" s="5">
        <v>8.6999999999999994E-3</v>
      </c>
      <c r="D496" s="5">
        <v>0.22170000000000001</v>
      </c>
    </row>
    <row r="497" spans="1:4">
      <c r="A497" s="3">
        <v>43431</v>
      </c>
      <c r="B497" s="4">
        <v>97.46</v>
      </c>
      <c r="C497" s="5">
        <v>-1.1820000000000001E-2</v>
      </c>
      <c r="D497" s="5">
        <v>0.20069999999999999</v>
      </c>
    </row>
    <row r="498" spans="1:4">
      <c r="A498" s="3">
        <v>43432</v>
      </c>
      <c r="B498" s="4">
        <v>98.74</v>
      </c>
      <c r="C498" s="5">
        <v>1.308E-2</v>
      </c>
      <c r="D498" s="5">
        <v>0.22509999999999999</v>
      </c>
    </row>
    <row r="499" spans="1:4">
      <c r="A499" s="3">
        <v>43433</v>
      </c>
      <c r="B499" s="4">
        <v>101.87</v>
      </c>
      <c r="C499" s="5">
        <v>3.1199999999999999E-2</v>
      </c>
      <c r="D499" s="5">
        <v>0.2248</v>
      </c>
    </row>
    <row r="500" spans="1:4">
      <c r="A500" s="3">
        <v>43434</v>
      </c>
      <c r="B500" s="4">
        <v>99.44</v>
      </c>
      <c r="C500" s="5">
        <v>-2.4170000000000001E-2</v>
      </c>
      <c r="D500" s="5">
        <v>0.23039999999999999</v>
      </c>
    </row>
    <row r="501" spans="1:4">
      <c r="A501" s="3">
        <v>43437</v>
      </c>
      <c r="B501" s="4">
        <v>100.32</v>
      </c>
      <c r="C501" s="5">
        <v>8.8299999999999993E-3</v>
      </c>
      <c r="D501" s="5">
        <v>0.23069999999999999</v>
      </c>
    </row>
    <row r="502" spans="1:4">
      <c r="A502" s="3">
        <v>43438</v>
      </c>
      <c r="B502" s="4">
        <v>99.21</v>
      </c>
      <c r="C502" s="5">
        <v>-1.1169999999999999E-2</v>
      </c>
      <c r="D502" s="5">
        <v>0.24940000000000001</v>
      </c>
    </row>
    <row r="503" spans="1:4">
      <c r="A503" s="3">
        <v>43439</v>
      </c>
      <c r="B503" s="4">
        <v>100.94</v>
      </c>
      <c r="C503" s="5">
        <v>1.7330000000000002E-2</v>
      </c>
      <c r="D503" s="5">
        <v>0.22339999999999999</v>
      </c>
    </row>
    <row r="504" spans="1:4">
      <c r="A504" s="3">
        <v>43440</v>
      </c>
      <c r="B504" s="4">
        <v>100.84</v>
      </c>
      <c r="C504" s="5">
        <v>-1.0200000000000001E-3</v>
      </c>
      <c r="D504" s="5">
        <v>0.2102</v>
      </c>
    </row>
    <row r="505" spans="1:4">
      <c r="A505" s="3">
        <v>43441</v>
      </c>
      <c r="B505" s="4">
        <v>102.88</v>
      </c>
      <c r="C505" s="5">
        <v>2.009E-2</v>
      </c>
      <c r="D505" s="5">
        <v>0.19850000000000001</v>
      </c>
    </row>
    <row r="506" spans="1:4">
      <c r="A506" s="3">
        <v>43444</v>
      </c>
      <c r="B506" s="4">
        <v>101.47</v>
      </c>
      <c r="C506" s="5">
        <v>-1.3860000000000001E-2</v>
      </c>
      <c r="D506" s="5">
        <v>0.18779999999999999</v>
      </c>
    </row>
    <row r="507" spans="1:4">
      <c r="A507" s="3">
        <v>43445</v>
      </c>
      <c r="B507" s="4">
        <v>101.91</v>
      </c>
      <c r="C507" s="5">
        <v>4.3299999999999996E-3</v>
      </c>
      <c r="D507" s="5">
        <v>0.1474</v>
      </c>
    </row>
    <row r="508" spans="1:4">
      <c r="A508" s="3">
        <v>43446</v>
      </c>
      <c r="B508" s="4">
        <v>102.57</v>
      </c>
      <c r="C508" s="5">
        <v>6.4900000000000001E-3</v>
      </c>
      <c r="D508" s="5">
        <v>0.18379999999999999</v>
      </c>
    </row>
    <row r="509" spans="1:4">
      <c r="A509" s="3">
        <v>43447</v>
      </c>
      <c r="B509" s="4">
        <v>103.47</v>
      </c>
      <c r="C509" s="5">
        <v>8.7100000000000007E-3</v>
      </c>
      <c r="D509" s="5">
        <v>0.1719</v>
      </c>
    </row>
    <row r="510" spans="1:4">
      <c r="A510" s="3">
        <v>43448</v>
      </c>
      <c r="B510" s="4">
        <v>103.83</v>
      </c>
      <c r="C510" s="5">
        <v>3.5200000000000001E-3</v>
      </c>
      <c r="D510" s="5">
        <v>0.1832</v>
      </c>
    </row>
    <row r="511" spans="1:4">
      <c r="A511" s="3">
        <v>43451</v>
      </c>
      <c r="B511" s="4">
        <v>104.44</v>
      </c>
      <c r="C511" s="5">
        <v>5.8500000000000002E-3</v>
      </c>
      <c r="D511" s="5">
        <v>0.2034</v>
      </c>
    </row>
    <row r="512" spans="1:4">
      <c r="A512" s="3">
        <v>43452</v>
      </c>
      <c r="B512" s="4">
        <v>104.3</v>
      </c>
      <c r="C512" s="5">
        <v>-1.3500000000000001E-3</v>
      </c>
      <c r="D512" s="5">
        <v>0.23519999999999999</v>
      </c>
    </row>
    <row r="513" spans="1:4">
      <c r="A513" s="3">
        <v>43453</v>
      </c>
      <c r="B513" s="4">
        <v>103.92</v>
      </c>
      <c r="C513" s="5">
        <v>-3.6900000000000001E-3</v>
      </c>
      <c r="D513" s="5">
        <v>0.2427</v>
      </c>
    </row>
    <row r="514" spans="1:4">
      <c r="A514" s="3">
        <v>43454</v>
      </c>
      <c r="B514" s="4">
        <v>101.01</v>
      </c>
      <c r="C514" s="5">
        <v>-2.8400000000000002E-2</v>
      </c>
      <c r="D514" s="5">
        <v>0.248</v>
      </c>
    </row>
    <row r="515" spans="1:4">
      <c r="A515" s="3">
        <v>43455</v>
      </c>
      <c r="B515" s="4">
        <v>101.24</v>
      </c>
      <c r="C515" s="5">
        <v>2.33E-3</v>
      </c>
      <c r="D515" s="5">
        <v>0.2258</v>
      </c>
    </row>
    <row r="516" spans="1:4">
      <c r="A516" s="3">
        <v>43458</v>
      </c>
      <c r="B516" s="4">
        <v>102.06</v>
      </c>
      <c r="C516" s="5">
        <v>8.0099999999999998E-3</v>
      </c>
      <c r="D516" s="5">
        <v>0.21859999999999999</v>
      </c>
    </row>
    <row r="517" spans="1:4">
      <c r="A517" s="3">
        <v>43459</v>
      </c>
      <c r="B517" s="4">
        <v>102.52</v>
      </c>
      <c r="C517" s="5">
        <v>4.5599999999999998E-3</v>
      </c>
      <c r="D517" s="5">
        <v>0.22570000000000001</v>
      </c>
    </row>
    <row r="518" spans="1:4">
      <c r="A518" s="3">
        <v>43460</v>
      </c>
      <c r="B518" s="4">
        <v>103.97</v>
      </c>
      <c r="C518" s="5">
        <v>1.405E-2</v>
      </c>
      <c r="D518" s="5">
        <v>0.23080000000000001</v>
      </c>
    </row>
    <row r="519" spans="1:4">
      <c r="A519" s="3">
        <v>43461</v>
      </c>
      <c r="B519" s="4">
        <v>104.73</v>
      </c>
      <c r="C519" s="5">
        <v>7.2100000000000003E-3</v>
      </c>
      <c r="D519" s="5">
        <v>0.2039</v>
      </c>
    </row>
    <row r="520" spans="1:4">
      <c r="A520" s="3">
        <v>43462</v>
      </c>
      <c r="B520" s="4">
        <v>106.4</v>
      </c>
      <c r="C520" s="5">
        <v>1.5859999999999999E-2</v>
      </c>
      <c r="D520" s="5">
        <v>0.2054</v>
      </c>
    </row>
    <row r="521" spans="1:4">
      <c r="A521" s="3">
        <v>43465</v>
      </c>
      <c r="B521" s="4">
        <v>106.62</v>
      </c>
      <c r="C521" s="5">
        <v>2.0400000000000001E-3</v>
      </c>
      <c r="D521" s="5">
        <v>0.1905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7"/>
  <cols>
    <col min="1" max="1" width="62.33203125" customWidth="1"/>
    <col min="2" max="2" width="54.109375" customWidth="1"/>
  </cols>
  <sheetData>
    <row r="1" spans="1:2" ht="17.7">
      <c r="A1" s="6" t="s">
        <v>4</v>
      </c>
      <c r="B1" s="6"/>
    </row>
    <row r="3" spans="1:2">
      <c r="A3" s="1" t="s">
        <v>5</v>
      </c>
      <c r="B3" s="1" t="s">
        <v>6</v>
      </c>
    </row>
    <row r="4" spans="1:2">
      <c r="A4" t="s">
        <v>0</v>
      </c>
      <c r="B4" t="s">
        <v>7</v>
      </c>
    </row>
    <row r="5" spans="1:2">
      <c r="A5" t="s">
        <v>1</v>
      </c>
      <c r="B5" t="s">
        <v>8</v>
      </c>
    </row>
    <row r="6" spans="1:2">
      <c r="A6" t="s">
        <v>2</v>
      </c>
      <c r="B6" t="s">
        <v>9</v>
      </c>
    </row>
    <row r="7" spans="1:2">
      <c r="A7" t="s">
        <v>3</v>
      </c>
      <c r="B7" t="s">
        <v>10</v>
      </c>
    </row>
    <row r="8" spans="1:2">
      <c r="A8" t="s">
        <v>11</v>
      </c>
      <c r="B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market_volatility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Mount</cp:lastModifiedBy>
  <dcterms:modified xsi:type="dcterms:W3CDTF">2026-05-30T14:17:28Z</dcterms:modified>
</cp:coreProperties>
</file>
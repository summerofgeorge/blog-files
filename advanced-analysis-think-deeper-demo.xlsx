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8_{0066CE6A-28E9-495F-A046-A3FAE8C875DB}" xr6:coauthVersionLast="47" xr6:coauthVersionMax="47" xr10:uidLastSave="{00000000-0000-0000-0000-000000000000}"/>
  <bookViews>
    <workbookView xWindow="-93" yWindow="-93" windowWidth="16826" windowHeight="11280" xr2:uid="{DE2FC6D0-B278-4A6A-8CDE-4A3419D8176F}"/>
  </bookViews>
  <sheets>
    <sheet name="mpg" sheetId="1" r:id="rId1"/>
    <sheet name="Analysis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0" i="2" l="1" a="1"/>
  <c r="A120" i="2" s="1"/>
  <c r="A117" i="2" a="1"/>
  <c r="A117" i="2" s="1"/>
  <c r="A112" i="2" a="1"/>
  <c r="A112" i="2" s="1"/>
  <c r="A109" i="2" a="1"/>
  <c r="A109" i="2" s="1"/>
  <c r="A6" i="2" a="1"/>
  <c r="A6" i="2" s="1"/>
  <c r="A24" i="2" l="1" a="1"/>
  <c r="A24" i="2" s="1"/>
  <c r="A9" i="2" a="1"/>
  <c r="A9" i="2" s="1"/>
  <c r="A40" i="2" l="1" a="1"/>
  <c r="A40" i="2" s="1"/>
  <c r="A44" i="2" s="1" a="1"/>
  <c r="A44" i="2" s="1"/>
  <c r="A27" i="2" a="1"/>
  <c r="A27" i="2" s="1"/>
  <c r="A47" i="2" l="1" a="1"/>
  <c r="A47" i="2" s="1"/>
  <c r="A58" i="2" a="1"/>
  <c r="A58" i="2" s="1"/>
  <c r="A78" i="2" l="1" a="1"/>
  <c r="A78" i="2" s="1"/>
  <c r="A92" i="2" l="1" a="1"/>
  <c r="A92" i="2" s="1"/>
  <c r="A81" i="2" a="1"/>
  <c r="A81" i="2" s="1"/>
  <c r="A105" i="2" l="1" a="1"/>
  <c r="A105" i="2" s="1"/>
  <c r="A95" i="2" a="1"/>
  <c r="A9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0">
    <bk>
      <extLst>
        <ext uri="{3e2802c4-a4d2-4d8b-9148-e3be6c30e623}">
          <xlrd:rvb i="2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6"/>
        </ext>
      </extLst>
    </bk>
  </futureMetadata>
  <cellMetadata count="1">
    <bk>
      <rc t="1" v="0"/>
    </bk>
  </cellMetadata>
  <valueMetadata count="1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autompg_df=xl(%P2%, headers=True)</code>
    </pythonScript>
    <pythonScript>
      <code>#Data quality report: missing values and data types
# Check for missing values and data types in autompg_df
data_quality_report = {
    'missing_values': autompg_df.isnull().sum(),
    'data_types': autompg_df.dtypes
}
pd.DataFrame(data_quality_report)</code>
    </pythonScript>
    <pythonScript>
      <code>#Impute missing 'horsepower' values and confirm
# Impute missing values in 'horsepower' with the median
horsepower_median = autompg_df['horsepower'].median()
autompg_df['horsepower'].fillna(horsepower_median, inplace=True)
# Confirm no missing values remain
autompg_df['horsepower'].isnull().sum()</code>
    </pythonScript>
    <pythonScript>
      <code>#Summary statistics for all numerical features
#Summary statistics for all numerical features
numerical_summary = autompg_df.describe().T
numerical_summary</code>
    </pythonScript>
    <pythonScript>
      <code>#Visualize distributions of key variables
#Visualize distributions of key variables
plt.rcParams['font.family'] = ['Meiryo','Batang','TH SarabunPSK','SimHei','DejaVu Sans']
fig, axes = plt.subplots(4, 2, figsize=(12, 16))
features = ['mpg', 'horsepower', 'weight', 'displacement']
for i, feature in enumerate(features):
    # Histogram
    autompg_df[feature].plot(kind='hist', bins=20, ax=axes[i,0], color='skyblue', edgecolor='black')
    axes[i,0].set_title(f'Histogram of {feature}')
    axes[i,0].set_xlabel(feature)
    axes[i,0].set_ylabel('Frequency')
    # Boxplot
    autompg_df[feature].plot(kind='box', ax=axes[i,1], color='orange')
    axes[i,1].set_title(f'Boxplot of {feature}')
    axes[i,1].set_xlabel(feature)
plt.tight_layout()
plt.show()</code>
    </pythonScript>
    <pythonScript>
      <code>#Correlation matrix for numerical features
#Correlation matrix for numerical features
correlation_matrix = autompg_df.corr(numeric_only=True)
correlation_matrix</code>
    </pythonScript>
    <pythonScript>
      <code>#Encode 'origin' and check skewness of numerical features
#Encode 'origin' categorical variable and check skewness
# Encode 'origin' using one-hot encoding
encoded_df = pd.get_dummies(autompg_df, columns=['origin'], drop_first=True)
# Check skewness of numerical features
skewness_report = encoded_df.select_dtypes(include=[np.number]).skew().sort_values(ascending=False)
skewness_report</code>
    </pythonScript>
    <pythonScript>
      <code>#Check columns after one-hot encoding for 'origin'
#Check columns after one-hot encoding for 'origin'
encoded_df.columns</code>
    </pythonScript>
    <pythonScript>
      <code>#Regression model to predict mpg and evaluation metrics
#Regression model to predict mpg
from sklearn.model_selection import train_test_split
from sklearn.linear_model import LinearRegression
from sklearn.metrics import r2_score, mean_squared_error
# Select features for regression
features = ['cylinders', 'displacement', 'horsepower', 'weight', 'acceleration', 'model_year', 'origin_japan', 'origin_usa']
X = encoded_df[features]
y = encoded_df['mpg']
# Split data into train and test sets
X_train, X_test, y_train, y_test = train_test_split(X, y, test_size=0.2, random_state=42)
# Fit linear regression model
lr = LinearRegression()
lr.fit(X_train, y_train)
# Predict and evaluate
y_pred = lr.predict(X_test)
r2 = r2_score(y_test, y_pred)
rmse = mean_squared_error(y_test, y_pred, squared=False)
# Output model evaluation metrics
pd.DataFrame({'R2': [r2], 'RMSE': [rmse]})</code>
    </pythonScript>
    <pythonScript>
      <code>#Interpret model coefficients
#Interpret model coefficients
#Interpret model coefficients
coefficients = pd.DataFrame({'Feature': features, 'Coefficient': lr.coef_})
coefficients.sort_values(by='Coefficient', ascending=False)</code>
    </pythonScript>
  </pythonScripts>
</python>
</file>

<file path=xl/sharedStrings.xml><?xml version="1.0" encoding="utf-8"?>
<sst xmlns="http://schemas.openxmlformats.org/spreadsheetml/2006/main" count="824" uniqueCount="330">
  <si>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</si>
  <si>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</si>
  <si>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</si>
  <si>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</si>
  <si>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</si>
  <si>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</si>
  <si>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</si>
  <si>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</si>
  <si>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name</t>
  </si>
  <si>
    <t>usa</t>
  </si>
  <si>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</si>
  <si>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</si>
  <si>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</si>
  <si>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</si>
  <si>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</si>
  <si>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</si>
  <si>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</si>
  <si>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</si>
  <si>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</si>
  <si>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</si>
  <si>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dodge challenger se</t>
  </si>
  <si>
    <t>plymouth 'cuda 340</t>
  </si>
  <si>
    <t>chevrolet monte carlo</t>
  </si>
  <si>
    <t>buick estate wagon (sw)</t>
  </si>
  <si>
    <t>japan</t>
  </si>
  <si>
    <t>toyota corona mark ii</t>
  </si>
  <si>
    <t>plymouth duster</t>
  </si>
  <si>
    <t>amc hornet</t>
  </si>
  <si>
    <t>ford maverick</t>
  </si>
  <si>
    <t>datsun pl510</t>
  </si>
  <si>
    <t>europe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</si>
  <si>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</si>
  <si>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</si>
  <si>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</si>
  <si>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</si>
  <si>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</si>
  <si>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</si>
  <si>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</si>
  <si>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</si>
  <si>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</si>
  <si>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</si>
  <si>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</si>
  <si>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</si>
  <si>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</si>
  <si>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</si>
  <si>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</si>
  <si>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</si>
  <si>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</si>
  <si>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</si>
  <si>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</si>
  <si>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</si>
  <si>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</si>
  <si>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</si>
  <si>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</si>
  <si>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</si>
  <si>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</si>
  <si>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</si>
  <si>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</si>
  <si>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</si>
  <si>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</si>
  <si>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</si>
  <si>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</si>
  <si>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</si>
  <si>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</si>
  <si>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</si>
  <si>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</si>
  <si>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</si>
  <si>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</si>
  <si>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</si>
  <si>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</si>
  <si>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</si>
  <si>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</si>
  <si>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</si>
  <si>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</si>
  <si>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</si>
  <si>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chevrolet chevelle concours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</si>
  <si>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</si>
  <si>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</si>
  <si>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</si>
  <si>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</si>
  <si>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</si>
  <si>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</si>
  <si>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</si>
  <si>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</si>
  <si>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</si>
  <si>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</si>
  <si>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</si>
  <si>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</si>
  <si>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</si>
  <si>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</si>
  <si>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</si>
  <si>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</si>
  <si>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</si>
  <si>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</si>
  <si>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</si>
  <si>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</si>
  <si>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</si>
  <si>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</si>
  <si>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</si>
  <si>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</si>
  <si>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</si>
  <si>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</si>
  <si>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</si>
  <si>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</si>
  <si>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</si>
  <si>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</si>
  <si>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</si>
  <si>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</si>
  <si>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</si>
  <si>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</si>
  <si>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</si>
  <si>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</si>
  <si>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</si>
  <si>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</si>
  <si>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</si>
  <si>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</si>
  <si>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</si>
  <si>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</si>
  <si>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</si>
  <si>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</si>
  <si>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</si>
  <si>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</si>
  <si>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</si>
  <si>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</si>
  <si>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</si>
  <si>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</si>
  <si>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</si>
  <si>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</si>
  <si>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</si>
  <si>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</si>
  <si>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</si>
  <si>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</si>
  <si>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</si>
  <si>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</si>
  <si>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</si>
  <si>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</si>
  <si>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</si>
  <si>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</si>
  <si>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</si>
  <si>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</si>
  <si>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</si>
  <si>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</si>
  <si>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</si>
  <si>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</si>
  <si>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</si>
  <si>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</si>
  <si>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</si>
  <si>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</si>
  <si>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</si>
  <si>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</si>
  <si>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</si>
  <si>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</si>
  <si>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</si>
  <si>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</si>
  <si>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</si>
  <si>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</si>
  <si>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</si>
  <si>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</si>
  <si>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</si>
  <si>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</si>
  <si>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</si>
  <si>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</si>
  <si>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</si>
  <si>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</si>
  <si>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</si>
  <si>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</si>
  <si>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</si>
  <si>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</si>
  <si>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</si>
  <si>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</si>
  <si>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</si>
  <si>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</si>
  <si>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</si>
  <si>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</si>
  <si>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</si>
  <si>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</si>
  <si>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</si>
  <si>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</si>
  <si>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</si>
  <si>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</si>
  <si>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</si>
  <si>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</si>
  <si>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</si>
  <si>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</si>
  <si>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</si>
  <si>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</si>
  <si>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</si>
  <si>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</si>
  <si>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</si>
  <si>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</si>
  <si>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</si>
  <si>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</si>
  <si>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</si>
  <si>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</si>
  <si>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</si>
  <si>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</si>
  <si>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</si>
  <si>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</si>
  <si>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</si>
  <si>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</si>
  <si>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</si>
  <si>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</si>
  <si>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</si>
  <si>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</si>
  <si>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</si>
  <si>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</si>
  <si>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</si>
  <si>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</si>
  <si>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</si>
  <si>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</si>
  <si>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</si>
  <si>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</si>
  <si>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</si>
  <si>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</si>
  <si>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</si>
  <si>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</si>
  <si>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</si>
  <si>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</si>
  <si>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</si>
  <si>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</si>
  <si>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</si>
  <si>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</si>
  <si>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</si>
  <si>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</si>
  <si>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</si>
  <si>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</si>
  <si>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</si>
  <si>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</si>
  <si>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</si>
  <si>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</si>
  <si>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</si>
  <si>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</si>
  <si>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</si>
  <si>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</si>
  <si>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</si>
  <si>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</si>
  <si>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</si>
  <si>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</si>
  <si>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</si>
  <si>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</si>
  <si>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</si>
  <si>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</si>
  <si>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</si>
  <si>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</si>
  <si>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</si>
  <si>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</si>
  <si>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</si>
  <si>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</si>
  <si>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</si>
  <si>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</si>
  <si>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</si>
  <si>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</si>
  <si>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</si>
  <si>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</si>
  <si>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</si>
  <si>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</si>
  <si>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</si>
  <si>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</si>
  <si>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</si>
  <si>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</si>
  <si>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</si>
  <si>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</si>
  <si>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</si>
  <si>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</si>
  <si>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</si>
  <si>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</si>
  <si>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</si>
  <si>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</si>
  <si>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</si>
  <si>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</si>
  <si>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</si>
  <si>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</si>
  <si>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</si>
  <si>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</si>
  <si>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</si>
  <si>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</si>
  <si>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</si>
  <si>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</si>
  <si>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</si>
  <si>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</si>
  <si>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</si>
  <si>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</si>
  <si>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</si>
  <si>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</si>
  <si>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</si>
  <si>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</si>
  <si>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</si>
  <si>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</si>
  <si>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</si>
  <si>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</si>
  <si>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</si>
  <si>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</si>
  <si>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</si>
  <si>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</si>
  <si>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</si>
  <si>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</si>
  <si>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</si>
  <si>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</si>
  <si>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</si>
  <si>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</si>
  <si>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</si>
  <si>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</si>
  <si>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</si>
  <si>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</si>
  <si>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</si>
  <si>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</si>
  <si>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</si>
  <si>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</si>
  <si>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</si>
  <si>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</si>
  <si>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</si>
  <si>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</si>
  <si>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</si>
  <si>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</si>
  <si>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</si>
  <si>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</si>
  <si>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</si>
  <si>
    <t>Analysis Sheet</t>
  </si>
  <si>
    <t>This sheet will include all the Python formulas generated by Copilot.</t>
  </si>
  <si>
    <t>Load data from mpg, autompg</t>
  </si>
  <si>
    <t>Preview</t>
  </si>
  <si>
    <t>Data quality report: missing values and data types</t>
  </si>
  <si>
    <t>Impute missing 'horsepower' values and confirm</t>
  </si>
  <si>
    <t>Summary statistics for all numerical features</t>
  </si>
  <si>
    <t>Visualize distributions of key variables</t>
  </si>
  <si>
    <t>Correlation matrix for numerical features</t>
  </si>
  <si>
    <t>Encode 'origin' and check skewness of numerical features</t>
  </si>
  <si>
    <t>Regression model to predict mpg and evaluation metrics</t>
  </si>
  <si>
    <t>Check columns after one-hot encoding for 'origin'</t>
  </si>
  <si>
    <t>Interpret model coefficients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</si>
</sst>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b/>
      <sz val="24"/>
      <color rgb="FF156082"/>
      <name val="Aptos Narrow"/>
      <family val="2"/>
      <scheme val="minor"/>
    </font>
    <font>
      <b/>
      <sz val="14"/>
      <color rgb="FF156082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1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19" Type="http://schemas.microsoft.com/office/2023/09/relationships/Python" Target="python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58</xdr:row>
      <xdr:rowOff>0</xdr:rowOff>
    </xdr:from>
    <xdr:to>
      <xdr:col>3</xdr:col>
      <xdr:colOff>700465</xdr:colOff>
      <xdr:row>74</xdr:row>
      <xdr:rowOff>0</xdr:rowOff>
    </xdr:to>
    <xdr:pic>
      <xdr:nvPicPr>
        <xdr:cNvPr id="2" name="Picture 1" title="Visualize distributions of key variables">
          <a:extLst>
            <a:ext uri="{FF2B5EF4-FFF2-40B4-BE49-F238E27FC236}">
              <a16:creationId xmlns:a16="http://schemas.microsoft.com/office/drawing/2014/main" id="{34283D1F-565D-69AF-9096-264ECBD7D773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Analysis1!A58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775767"/>
          <a:ext cx="3646865" cy="4876800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8">
  <a r="12" c="10">
    <v t="s"/>
    <v t="s">mpg</v>
    <v t="s">cylinders</v>
    <v t="s">displacement</v>
    <v t="s">horsepower</v>
    <v t="s">weight</v>
    <v t="s">acceleration</v>
    <v t="s">model_year</v>
    <v t="s">origin</v>
    <v t="s">name</v>
    <v>0</v>
    <v>18</v>
    <v>8</v>
    <v>307</v>
    <v>130</v>
    <v>3504</v>
    <v>12</v>
    <v>70</v>
    <v t="s">usa</v>
    <v t="s">chevrolet chevelle malibu</v>
    <v>1</v>
    <v>15</v>
    <v>8</v>
    <v>350</v>
    <v>165</v>
    <v>3693</v>
    <v>11.5</v>
    <v>70</v>
    <v t="s">usa</v>
    <v t="s">buick skylark 320</v>
    <v>2</v>
    <v>18</v>
    <v>8</v>
    <v>318</v>
    <v>150</v>
    <v>3436</v>
    <v>11</v>
    <v>70</v>
    <v t="s">usa</v>
    <v t="s">plymouth satellite</v>
    <v>3</v>
    <v>16</v>
    <v>8</v>
    <v>304</v>
    <v>150</v>
    <v>3433</v>
    <v>12</v>
    <v>70</v>
    <v t="s">usa</v>
    <v t="s">amc rebel sst</v>
    <v>4</v>
    <v>17</v>
    <v>8</v>
    <v>302</v>
    <v>140</v>
    <v>3449</v>
    <v>10.5</v>
    <v>70</v>
    <v t="s">usa</v>
    <v t="s">ford torino</v>
    <v t="s">...</v>
    <v t="s">...</v>
    <v t="s">...</v>
    <v t="s">...</v>
    <v t="s">...</v>
    <v t="s">...</v>
    <v t="s">...</v>
    <v t="s">...</v>
    <v t="s">...</v>
    <v t="s">...</v>
    <v>393</v>
    <v>27</v>
    <v>4</v>
    <v>140</v>
    <v>86</v>
    <v>2790</v>
    <v>15.6</v>
    <v>82</v>
    <v t="s">usa</v>
    <v t="s">ford mustang gl</v>
    <v>394</v>
    <v>44</v>
    <v>4</v>
    <v>97</v>
    <v>52</v>
    <v>2130</v>
    <v>24.6</v>
    <v>82</v>
    <v t="s">europe</v>
    <v t="s">vw pickup</v>
    <v>395</v>
    <v>32</v>
    <v>4</v>
    <v>135</v>
    <v>84</v>
    <v>2295</v>
    <v>11.6</v>
    <v>82</v>
    <v t="s">usa</v>
    <v t="s">dodge rampage</v>
    <v>396</v>
    <v>28</v>
    <v>4</v>
    <v>120</v>
    <v>79</v>
    <v>2625</v>
    <v>18.600000000000001</v>
    <v>82</v>
    <v t="s">usa</v>
    <v t="s">ford ranger</v>
    <v>397</v>
    <v>31</v>
    <v>4</v>
    <v>119</v>
    <v>82</v>
    <v>2720</v>
    <v>19.399999999999999</v>
    <v>82</v>
    <v t="s">usa</v>
    <v t="s">chevy s-10</v>
  </a>
  <a r="10" c="3">
    <v t="s"/>
    <v t="s">missing_values</v>
    <v t="s">data_types</v>
    <v t="s">mpg</v>
    <v>0</v>
    <v t="s">&lt;Float64DType&gt;</v>
    <v t="s">cylinders</v>
    <v>0</v>
    <v t="s">&lt;Int64DType&gt;</v>
    <v t="s">displacement</v>
    <v>0</v>
    <v t="s">&lt;Float64DType&gt;</v>
    <v t="s">horsepower</v>
    <v>6</v>
    <v t="s">&lt;Float64DType&gt;</v>
    <v t="s">weight</v>
    <v>0</v>
    <v t="s">&lt;Int64DType&gt;</v>
    <v t="s">acceleration</v>
    <v>0</v>
    <v t="s">&lt;Float64DType&gt;</v>
    <v t="s">model_year</v>
    <v>0</v>
    <v t="s">&lt;Int64DType&gt;</v>
    <v t="s">origin</v>
    <v>0</v>
    <v t="s">&lt;ObjectDType&gt;</v>
    <v t="s">name</v>
    <v>0</v>
    <v t="s">&lt;ObjectDType&gt;</v>
  </a>
  <a r="8" c="9">
    <v t="s"/>
    <v t="s">count</v>
    <v t="s">mean</v>
    <v t="s">std</v>
    <v t="s">min</v>
    <v t="s">25%</v>
    <v t="s">50%</v>
    <v t="s">75%</v>
    <v t="s">max</v>
    <v t="s">mpg</v>
    <v>398</v>
    <v>23.514572864321607</v>
    <v>7.8159843125657824</v>
    <v>9</v>
    <v>17.5</v>
    <v>23</v>
    <v>29</v>
    <v>46.6</v>
    <v t="s">cylinders</v>
    <v>398</v>
    <v>5.4547738693467336</v>
    <v>1.7010042445332094</v>
    <v>3</v>
    <v>4</v>
    <v>4</v>
    <v>8</v>
    <v>8</v>
    <v t="s">displacement</v>
    <v>398</v>
    <v>193.42587939698493</v>
    <v>104.26983817119581</v>
    <v>68</v>
    <v>104.25</v>
    <v>148.5</v>
    <v>262</v>
    <v>455</v>
    <v t="s">horsepower</v>
    <v>398</v>
    <v>104.30402010050251</v>
    <v>38.222624868108682</v>
    <v>46</v>
    <v>76</v>
    <v>93.5</v>
    <v>125</v>
    <v>230</v>
    <v t="s">weight</v>
    <v>398</v>
    <v>2970.424623115578</v>
    <v>846.84177419732714</v>
    <v>1613</v>
    <v>2223.75</v>
    <v>2803.5</v>
    <v>3608</v>
    <v>5140</v>
    <v t="s">acceleration</v>
    <v>398</v>
    <v>15.568090452261307</v>
    <v>2.7576889298126757</v>
    <v>8</v>
    <v>13.825000000000001</v>
    <v>15.5</v>
    <v>17.175000000000001</v>
    <v>24.8</v>
    <v t="s">model_year</v>
    <v>398</v>
    <v>76.010050251256288</v>
    <v>3.6976266467326231</v>
    <v>70</v>
    <v>73</v>
    <v>76</v>
    <v>79</v>
    <v>82</v>
  </a>
  <a r="2">
    <v>1189</v>
    <v>1590</v>
  </a>
  <a r="8" c="8">
    <v t="s"/>
    <v t="s">mpg</v>
    <v t="s">cylinders</v>
    <v t="s">displacement</v>
    <v t="s">horsepower</v>
    <v t="s">weight</v>
    <v t="s">acceleration</v>
    <v t="s">model_year</v>
    <v t="s">mpg</v>
    <v>1</v>
    <v>-0.77539628542055394</v>
    <v>-0.80420282480589789</v>
    <v>-0.7734532045742144</v>
    <v>-0.8317409332443344</v>
    <v>0.42028891210165054</v>
    <v>0.57926713308330924</v>
    <v t="s">cylinders</v>
    <v>-0.77539628542055394</v>
    <v>1</v>
    <v>0.95072139013924151</v>
    <v>0.84128446376210164</v>
    <v>0.89601679545339441</v>
    <v>-0.50541948905217582</v>
    <v>-0.34874579661359445</v>
    <v t="s">displacement</v>
    <v>-0.80420282480589789</v>
    <v>0.95072139013924151</v>
    <v>1</v>
    <v>0.8957782012539004</v>
    <v>0.93282414684163395</v>
    <v>-0.54368408350092989</v>
    <v>-0.37016416107932471</v>
    <v t="s">horsepower</v>
    <v>-0.7734532045742144</v>
    <v>0.84128446376210164</v>
    <v>0.8957782012539004</v>
    <v>1</v>
    <v>0.86244236099156213</v>
    <v>-0.68658973730477091</v>
    <v>-0.41373279760678372</v>
    <v t="s">weight</v>
    <v>-0.8317409332443344</v>
    <v>0.89601679545339441</v>
    <v>0.93282414684163395</v>
    <v>0.86244236099156213</v>
    <v>1</v>
    <v>-0.4174573199403932</v>
    <v>-0.30656433428328922</v>
    <v t="s">acceleration</v>
    <v>0.42028891210165054</v>
    <v>-0.50541948905217582</v>
    <v>-0.54368408350092989</v>
    <v>-0.68658973730477091</v>
    <v>-0.4174573199403932</v>
    <v>1</v>
    <v>0.28813695429949115</v>
    <v t="s">model_year</v>
    <v>0.57926713308330924</v>
    <v>-0.34874579661359445</v>
    <v>-0.37016416107932471</v>
    <v>-0.41373279760678372</v>
    <v>-0.30656433428328922</v>
    <v>0.28813695429949115</v>
    <v>1</v>
  </a>
  <a r="7" c="2">
    <v t="s">horsepower</v>
    <v>1.1062242930872614</v>
    <v t="s">displacement</v>
    <v>0.71964516430059522</v>
    <v t="s">weight</v>
    <v>0.53106251259946291</v>
    <v t="s">cylinders</v>
    <v>0.52692154535289393</v>
    <v t="s">mpg</v>
    <v>0.45706634399491913</v>
    <v t="s">acceleration</v>
    <v>0.27877684462588986</v>
    <v t="s">model_year</v>
    <v>1.153459401509278E-2</v>
  </a>
  <a r="2" c="3">
    <v t="s"/>
    <v t="s">R2</v>
    <v t="s">RMSE</v>
    <v>0</v>
    <v>0.84490963327620827</v>
    <v>2.8876733677169271</v>
  </a>
  <a r="9" c="3">
    <v t="s"/>
    <v t="s">Feature</v>
    <v t="s">Coefficient</v>
    <v>5</v>
    <v t="s">model_year</v>
    <v>0.82596927182081692</v>
    <v>4</v>
    <v t="s">acceleration</v>
    <v>6.7966521788843048E-2</v>
    <v>1</v>
    <v t="s">displacement</v>
    <v>1.9775710196321711E-2</v>
    <v>3</v>
    <v t="s">weight</v>
    <v>-7.0472665080488443E-3</v>
    <v>2</v>
    <v t="s">horsepower</v>
    <v>-1.4561875499478419E-2</v>
    <v>0</v>
    <v t="s">cylinders</v>
    <v>-0.1656637759888904</v>
    <v>6</v>
    <v t="s">origin_japan</v>
    <v>-0.27578067033266168</v>
    <v>7</v>
    <v t="s">origin_usa</v>
    <v>-2.9469066693935657</v>
  </a>
</arrayData>
</file>

<file path=xl/richData/rdrichvalue.xml><?xml version="1.0" encoding="utf-8"?>
<rvData xmlns="http://schemas.microsoft.com/office/spreadsheetml/2017/richdata" count="27">
  <rv s="0">
    <v>0</v>
  </rv>
  <rv s="1">
    <v>DataFrame</v>
    <v>1</v>
    <v>0</v>
  </rv>
  <rv s="2">
    <v>&lt;class 'pandas.core.frame.DataFrame'&gt;</v>
    <v>DataFrame</v>
    <v xml:space="preserve">      mpg  cylinders  displacement  horsepower  weight  acceleration  \
0    18.0          8         307.0       130.0    3504          12.0   
1    15.0          8         350.0       165.0    3693          11.5   
2    18.0          8         318.0  ...</v>
    <v>1</v>
    <v>2</v>
  </rv>
  <rv s="0">
    <v>1</v>
  </rv>
  <rv s="1">
    <v>DataFrame</v>
    <v>4</v>
    <v>3</v>
  </rv>
  <rv s="2">
    <v>&lt;class 'pandas.core.frame.DataFrame'&gt;</v>
    <v>DataFrame</v>
    <v xml:space="preserve">              missing_values data_types
mpg                        0    float64
cylinders                  0      int64
displacement               0    float64
horsepower                 6    float64
weight                     0      int64
acceleration...</v>
    <v>4</v>
    <v>2</v>
  </rv>
  <rv s="3">
    <fb>0</fb>
    <v>&lt;class 'numpy.int64'&gt;</v>
    <v>int64</v>
    <v>0</v>
    <v>0</v>
    <v>2</v>
  </rv>
  <rv s="0">
    <v>2</v>
  </rv>
  <rv s="1">
    <v>DataFrame</v>
    <v>6</v>
    <v>7</v>
  </rv>
  <rv s="2">
    <v>&lt;class 'pandas.core.frame.DataFrame'&gt;</v>
    <v>DataFrame</v>
    <v xml:space="preserve">              count         mean         std     min       25%     50%  \
mpg           398.0    23.514573    7.815984     9.0    17.500    23.0   
cylinders     398.0     5.454774    1.701004     3.0     4.000     4.0   
displacement  398.0   193.4258...</v>
    <v>8</v>
    <v>2</v>
  </rv>
  <rv s="4">
    <v>0</v>
    <v>9</v>
  </rv>
  <rv s="0">
    <v>3</v>
  </rv>
  <rv s="5">
    <v>Image</v>
    <v>7</v>
    <v>10</v>
    <v>11</v>
  </rv>
  <rv s="2">
    <v>&lt;class 'PIL.PngImagePlugin.PngImageFile'&gt;</v>
    <v>PngImageFile</v>
    <v>&lt;PIL.PngImagePlugin.PngImageFile image mode=RGBA size=1189x1590 at 0x7F9F3E764230&gt;</v>
    <v>12</v>
    <v>2</v>
  </rv>
  <rv s="0">
    <v>4</v>
  </rv>
  <rv s="1">
    <v>DataFrame</v>
    <v>9</v>
    <v>14</v>
  </rv>
  <rv s="2">
    <v>&lt;class 'pandas.core.frame.DataFrame'&gt;</v>
    <v>DataFrame</v>
    <v xml:space="preserve">                   mpg  cylinders  displacement  horsepower    weight  \
mpg           1.000000  -0.775396     -0.804203   -0.773453 -0.831741   
cylinders    -0.775396   1.000000      0.950721    0.841284  0.896017   
displacement -0.804203   0.950721...</v>
    <v>15</v>
    <v>2</v>
  </rv>
  <rv s="0">
    <v>5</v>
  </rv>
  <rv s="1">
    <v>Series</v>
    <v>11</v>
    <v>17</v>
  </rv>
  <rv s="2">
    <v>&lt;class 'pandas.core.series.Series'&gt;</v>
    <v>Series</v>
    <v>horsepower      1.106224
displacement    0.719645
weight          0.531063
cylinders       0.526922
mpg             0.457066
acceleration    0.278777
model_year      0.011535
dtype: float64</v>
    <v>18</v>
    <v>2</v>
  </rv>
  <rv s="6">
    <v>&lt;class 'pandas.core.indexes.base.Index'&gt;</v>
    <v>Index</v>
    <v>Index(['mpg', 'cylinders', 'displacement', 'horsepower', 'weight',
       'acceleration', 'model_year', 'name', 'origin_japan', 'origin_usa'],
      dtype='object')</v>
    <v>2</v>
  </rv>
  <rv s="0">
    <v>6</v>
  </rv>
  <rv s="1">
    <v>DataFrame</v>
    <v>13</v>
    <v>21</v>
  </rv>
  <rv s="2">
    <v>&lt;class 'pandas.core.frame.DataFrame'&gt;</v>
    <v>DataFrame</v>
    <v xml:space="preserve">        R2      RMSE
0  0.84491  2.887673</v>
    <v>22</v>
    <v>2</v>
  </rv>
  <rv s="0">
    <v>7</v>
  </rv>
  <rv s="1">
    <v>DataFrame</v>
    <v>15</v>
    <v>24</v>
  </rv>
  <rv s="2">
    <v>&lt;class 'pandas.core.frame.DataFrame'&gt;</v>
    <v>DataFrame</v>
    <v xml:space="preserve">        Feature  Coefficient
5    model_year     0.825969
4  acceleration     0.067967
1  displacement     0.019776
3        weight    -0.007047
2    horsepower    -0.014562
0     cylinders    -0.165664
6  origin_japan    -0.275781
7    origin_usa    -...</v>
    <v>25</v>
    <v>2</v>
  </rv>
</rvData>
</file>

<file path=xl/richData/rdrichvaluestructure.xml><?xml version="1.0" encoding="utf-8"?>
<rvStructures xmlns="http://schemas.microsoft.com/office/spreadsheetml/2017/richdata" count="7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i"/>
    <k n="_Provider" t="spb"/>
  </s>
  <s t="_localImage">
    <k n="_rvRel:LocalImageIdentifier" t="i"/>
    <k n="CalcOrigin" t="i"/>
  </s>
  <s t="_entity">
    <k n="_DisplayString" t="s"/>
    <k n="_Format" t="spb"/>
    <k n="image" t="r"/>
    <k n="size" t="r"/>
  </s>
  <s t="_python">
    <k n="Python_type" t="s"/>
    <k n="Python_typeName" t="s"/>
    <k n="Python_str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6">
    <spb s="0">
      <v>398</v>
      <v>9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  <spb s="0">
      <v>9</v>
      <v>2</v>
      <v>DataFrame</v>
      <v>arrayPreview</v>
      <v>1</v>
    </spb>
    <spb s="1">
      <v>3</v>
    </spb>
    <spb s="0">
      <v>7</v>
      <v>8</v>
      <v>DataFrame</v>
      <v>arrayPreview</v>
      <v>1</v>
    </spb>
    <spb s="1">
      <v>5</v>
    </spb>
    <spb s="3">
      <v>1</v>
    </spb>
    <spb s="0">
      <v>7</v>
      <v>7</v>
      <v>DataFrame</v>
      <v>arrayPreview</v>
      <v>1</v>
    </spb>
    <spb s="1">
      <v>8</v>
    </spb>
    <spb s="4">
      <v>7</v>
      <v>1</v>
      <v>Series</v>
      <v>arrayPreview</v>
    </spb>
    <spb s="1">
      <v>10</v>
    </spb>
    <spb s="0">
      <v>1</v>
      <v>2</v>
      <v>DataFrame</v>
      <v>arrayPreview</v>
      <v>1</v>
    </spb>
    <spb s="1">
      <v>12</v>
    </spb>
    <spb s="0">
      <v>8</v>
      <v>2</v>
      <v>DataFrame</v>
      <v>arrayPreview</v>
      <v>1</v>
    </spb>
    <spb s="1">
      <v>14</v>
    </spb>
  </spbData>
</supportingPropertyBags>
</file>

<file path=xl/richData/rdsupportingpropertybagstructure.xml><?xml version="1.0" encoding="utf-8"?>
<spbStructures xmlns="http://schemas.microsoft.com/office/spreadsheetml/2017/richdata2" count="5">
  <s>
    <k n="drw" t="i"/>
    <k n="dcol" t="i"/>
    <k n="name" t="s"/>
    <k n="array" t="s"/>
    <k n="headers" t="b"/>
  </s>
  <s>
    <k n="ArrayCardInfo" t="spb"/>
  </s>
  <s>
    <k n="link" t="s"/>
    <k n="logo" t="s"/>
    <k n="name" t="s"/>
  </s>
  <s>
    <k n="image" t="i"/>
  </s>
  <s>
    <k n="drw" t="i"/>
    <k n="dcol" t="i"/>
    <k n="name" t="s"/>
    <k n="array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richProperties>
    <rPr n="IsHeroField" t="b"/>
  </richProperties>
  <richStyles>
    <rSty>
      <rpv i="0">1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49E5C8-DD4E-4057-90A7-3F9DE6DB3CA7}" name="autompg" displayName="autompg" ref="A1:I399" totalsRowShown="0">
  <autoFilter ref="A1:I399" xr:uid="{2C49E5C8-DD4E-4057-90A7-3F9DE6DB3CA7}"/>
  <tableColumns count="9">
    <tableColumn id="1" xr3:uid="{4A5053B5-BF8B-432A-8BD6-DAA0BC41D435}" name="mpg"/>
    <tableColumn id="2" xr3:uid="{114036D8-06F0-453B-A613-2CB59F652FE7}" name="cylinders"/>
    <tableColumn id="3" xr3:uid="{AB637BE5-22EC-4217-9557-254002515A57}" name="displacement"/>
    <tableColumn id="4" xr3:uid="{C7F86A19-4F6A-4A02-BC3B-F7039FD43093}" name="horsepower"/>
    <tableColumn id="5" xr3:uid="{7C15F9AF-BE68-480D-AB5F-7B55FDF1785F}" name="weight"/>
    <tableColumn id="6" xr3:uid="{0B770894-3911-496A-BBBF-C76267FC7232}" name="acceleration"/>
    <tableColumn id="7" xr3:uid="{B57FCA86-E16F-4BED-B901-917E7E12EDAD}" name="model_year"/>
    <tableColumn id="8" xr3:uid="{EF6E5C53-55C4-4FFA-A7FB-DCF83C3CA469}" name="origin"/>
    <tableColumn id="9" xr3:uid="{B5F1B161-C1DB-4052-AD4B-7317D4BAC64E}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6936C-FA72-492B-8F57-08DF00678A65}">
  <dimension ref="A1:I399"/>
  <sheetViews>
    <sheetView tabSelected="1" workbookViewId="0"/>
  </sheetViews>
  <sheetFormatPr defaultRowHeight="24" x14ac:dyDescent="0.85"/>
  <cols>
    <col min="2" max="2" width="9.2578125" customWidth="1"/>
    <col min="3" max="3" width="13.03515625" customWidth="1"/>
    <col min="4" max="4" width="11.40625" customWidth="1"/>
    <col min="6" max="6" width="12.03515625" customWidth="1"/>
    <col min="7" max="7" width="11.2578125" customWidth="1"/>
  </cols>
  <sheetData>
    <row r="1" spans="1:9" x14ac:dyDescent="0.8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8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9</v>
      </c>
      <c r="I2" t="s">
        <v>10</v>
      </c>
    </row>
    <row r="3" spans="1:9" x14ac:dyDescent="0.8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9</v>
      </c>
      <c r="I3" t="s">
        <v>11</v>
      </c>
    </row>
    <row r="4" spans="1:9" x14ac:dyDescent="0.8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9</v>
      </c>
      <c r="I4" t="s">
        <v>12</v>
      </c>
    </row>
    <row r="5" spans="1:9" x14ac:dyDescent="0.8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9</v>
      </c>
      <c r="I5" t="s">
        <v>13</v>
      </c>
    </row>
    <row r="6" spans="1:9" x14ac:dyDescent="0.8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9</v>
      </c>
      <c r="I6" t="s">
        <v>14</v>
      </c>
    </row>
    <row r="7" spans="1:9" x14ac:dyDescent="0.8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9</v>
      </c>
      <c r="I7" t="s">
        <v>15</v>
      </c>
    </row>
    <row r="8" spans="1:9" x14ac:dyDescent="0.8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9</v>
      </c>
      <c r="I8" t="s">
        <v>16</v>
      </c>
    </row>
    <row r="9" spans="1:9" x14ac:dyDescent="0.8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9</v>
      </c>
      <c r="I9" t="s">
        <v>17</v>
      </c>
    </row>
    <row r="10" spans="1:9" x14ac:dyDescent="0.8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9</v>
      </c>
      <c r="I10" t="s">
        <v>18</v>
      </c>
    </row>
    <row r="11" spans="1:9" x14ac:dyDescent="0.8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9</v>
      </c>
      <c r="I11" t="s">
        <v>19</v>
      </c>
    </row>
    <row r="12" spans="1:9" x14ac:dyDescent="0.8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9</v>
      </c>
      <c r="I12" t="s">
        <v>20</v>
      </c>
    </row>
    <row r="13" spans="1:9" x14ac:dyDescent="0.8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9</v>
      </c>
      <c r="I13" t="s">
        <v>21</v>
      </c>
    </row>
    <row r="14" spans="1:9" x14ac:dyDescent="0.8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9</v>
      </c>
      <c r="I14" t="s">
        <v>22</v>
      </c>
    </row>
    <row r="15" spans="1:9" x14ac:dyDescent="0.8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9</v>
      </c>
      <c r="I15" t="s">
        <v>23</v>
      </c>
    </row>
    <row r="16" spans="1:9" x14ac:dyDescent="0.8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24</v>
      </c>
      <c r="I16" t="s">
        <v>25</v>
      </c>
    </row>
    <row r="17" spans="1:9" x14ac:dyDescent="0.8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9</v>
      </c>
      <c r="I17" t="s">
        <v>26</v>
      </c>
    </row>
    <row r="18" spans="1:9" x14ac:dyDescent="0.8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9</v>
      </c>
      <c r="I18" t="s">
        <v>27</v>
      </c>
    </row>
    <row r="19" spans="1:9" x14ac:dyDescent="0.8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9</v>
      </c>
      <c r="I19" t="s">
        <v>28</v>
      </c>
    </row>
    <row r="20" spans="1:9" x14ac:dyDescent="0.8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24</v>
      </c>
      <c r="I20" t="s">
        <v>29</v>
      </c>
    </row>
    <row r="21" spans="1:9" x14ac:dyDescent="0.8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30</v>
      </c>
      <c r="I21" t="s">
        <v>31</v>
      </c>
    </row>
    <row r="22" spans="1:9" x14ac:dyDescent="0.8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30</v>
      </c>
      <c r="I22" t="s">
        <v>32</v>
      </c>
    </row>
    <row r="23" spans="1:9" x14ac:dyDescent="0.8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30</v>
      </c>
      <c r="I23" t="s">
        <v>33</v>
      </c>
    </row>
    <row r="24" spans="1:9" x14ac:dyDescent="0.8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30</v>
      </c>
      <c r="I24" t="s">
        <v>34</v>
      </c>
    </row>
    <row r="25" spans="1:9" x14ac:dyDescent="0.8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30</v>
      </c>
      <c r="I25" t="s">
        <v>35</v>
      </c>
    </row>
    <row r="26" spans="1:9" x14ac:dyDescent="0.8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9</v>
      </c>
      <c r="I26" t="s">
        <v>36</v>
      </c>
    </row>
    <row r="27" spans="1:9" x14ac:dyDescent="0.8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9</v>
      </c>
      <c r="I27" t="s">
        <v>37</v>
      </c>
    </row>
    <row r="28" spans="1:9" x14ac:dyDescent="0.8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9</v>
      </c>
      <c r="I28" t="s">
        <v>38</v>
      </c>
    </row>
    <row r="29" spans="1:9" x14ac:dyDescent="0.8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9</v>
      </c>
      <c r="I29" t="s">
        <v>39</v>
      </c>
    </row>
    <row r="30" spans="1:9" x14ac:dyDescent="0.8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9</v>
      </c>
      <c r="I30" t="s">
        <v>40</v>
      </c>
    </row>
    <row r="31" spans="1:9" x14ac:dyDescent="0.8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24</v>
      </c>
      <c r="I31" t="s">
        <v>29</v>
      </c>
    </row>
    <row r="32" spans="1:9" x14ac:dyDescent="0.8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9</v>
      </c>
      <c r="I32" t="s">
        <v>41</v>
      </c>
    </row>
    <row r="33" spans="1:9" x14ac:dyDescent="0.8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24</v>
      </c>
      <c r="I33" t="s">
        <v>42</v>
      </c>
    </row>
    <row r="34" spans="1:9" x14ac:dyDescent="0.8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9</v>
      </c>
      <c r="I34" t="s">
        <v>43</v>
      </c>
    </row>
    <row r="35" spans="1:9" x14ac:dyDescent="0.8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9</v>
      </c>
      <c r="I35" t="s">
        <v>36</v>
      </c>
    </row>
    <row r="36" spans="1:9" x14ac:dyDescent="0.8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9</v>
      </c>
      <c r="I36" t="s">
        <v>44</v>
      </c>
    </row>
    <row r="37" spans="1:9" x14ac:dyDescent="0.8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9</v>
      </c>
      <c r="I37" t="s">
        <v>10</v>
      </c>
    </row>
    <row r="38" spans="1:9" x14ac:dyDescent="0.8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9</v>
      </c>
      <c r="I38" t="s">
        <v>45</v>
      </c>
    </row>
    <row r="39" spans="1:9" x14ac:dyDescent="0.8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9</v>
      </c>
      <c r="I39" t="s">
        <v>46</v>
      </c>
    </row>
    <row r="40" spans="1:9" x14ac:dyDescent="0.8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9</v>
      </c>
      <c r="I40" t="s">
        <v>16</v>
      </c>
    </row>
    <row r="41" spans="1:9" x14ac:dyDescent="0.8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9</v>
      </c>
      <c r="I41" t="s">
        <v>47</v>
      </c>
    </row>
    <row r="42" spans="1:9" x14ac:dyDescent="0.8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9</v>
      </c>
      <c r="I42" t="s">
        <v>15</v>
      </c>
    </row>
    <row r="43" spans="1:9" x14ac:dyDescent="0.8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9</v>
      </c>
      <c r="I43" t="s">
        <v>17</v>
      </c>
    </row>
    <row r="44" spans="1:9" x14ac:dyDescent="0.8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9</v>
      </c>
      <c r="I44" t="s">
        <v>48</v>
      </c>
    </row>
    <row r="45" spans="1:9" x14ac:dyDescent="0.8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9</v>
      </c>
      <c r="I45" t="s">
        <v>49</v>
      </c>
    </row>
    <row r="46" spans="1:9" x14ac:dyDescent="0.8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9</v>
      </c>
      <c r="I46" t="s">
        <v>50</v>
      </c>
    </row>
    <row r="47" spans="1:9" x14ac:dyDescent="0.8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9</v>
      </c>
      <c r="I47" t="s">
        <v>51</v>
      </c>
    </row>
    <row r="48" spans="1:9" x14ac:dyDescent="0.8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9</v>
      </c>
      <c r="I48" t="s">
        <v>52</v>
      </c>
    </row>
    <row r="49" spans="1:9" x14ac:dyDescent="0.8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9</v>
      </c>
      <c r="I49" t="s">
        <v>53</v>
      </c>
    </row>
    <row r="50" spans="1:9" x14ac:dyDescent="0.8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9</v>
      </c>
      <c r="I50" t="s">
        <v>54</v>
      </c>
    </row>
    <row r="51" spans="1:9" x14ac:dyDescent="0.8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9</v>
      </c>
      <c r="I51" t="s">
        <v>55</v>
      </c>
    </row>
    <row r="52" spans="1:9" x14ac:dyDescent="0.8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30</v>
      </c>
      <c r="I52" t="s">
        <v>56</v>
      </c>
    </row>
    <row r="53" spans="1:9" x14ac:dyDescent="0.8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30</v>
      </c>
      <c r="I53" t="s">
        <v>57</v>
      </c>
    </row>
    <row r="54" spans="1:9" x14ac:dyDescent="0.8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30</v>
      </c>
      <c r="I54" t="s">
        <v>58</v>
      </c>
    </row>
    <row r="55" spans="1:9" x14ac:dyDescent="0.8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24</v>
      </c>
      <c r="I55" t="s">
        <v>59</v>
      </c>
    </row>
    <row r="56" spans="1:9" x14ac:dyDescent="0.8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24</v>
      </c>
      <c r="I56" t="s">
        <v>60</v>
      </c>
    </row>
    <row r="57" spans="1:9" x14ac:dyDescent="0.8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30</v>
      </c>
      <c r="I57" t="s">
        <v>61</v>
      </c>
    </row>
    <row r="58" spans="1:9" x14ac:dyDescent="0.8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9</v>
      </c>
      <c r="I58" t="s">
        <v>62</v>
      </c>
    </row>
    <row r="59" spans="1:9" x14ac:dyDescent="0.8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24</v>
      </c>
      <c r="I59" t="s">
        <v>63</v>
      </c>
    </row>
    <row r="60" spans="1:9" x14ac:dyDescent="0.8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9</v>
      </c>
      <c r="I60" t="s">
        <v>64</v>
      </c>
    </row>
    <row r="61" spans="1:9" x14ac:dyDescent="0.8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30</v>
      </c>
      <c r="I61" t="s">
        <v>65</v>
      </c>
    </row>
    <row r="62" spans="1:9" x14ac:dyDescent="0.8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9</v>
      </c>
      <c r="I62" t="s">
        <v>66</v>
      </c>
    </row>
    <row r="63" spans="1:9" x14ac:dyDescent="0.8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9</v>
      </c>
      <c r="I63" t="s">
        <v>67</v>
      </c>
    </row>
    <row r="64" spans="1:9" x14ac:dyDescent="0.8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9</v>
      </c>
      <c r="I64" t="s">
        <v>16</v>
      </c>
    </row>
    <row r="65" spans="1:9" x14ac:dyDescent="0.8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9</v>
      </c>
      <c r="I65" t="s">
        <v>18</v>
      </c>
    </row>
    <row r="66" spans="1:9" x14ac:dyDescent="0.8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9</v>
      </c>
      <c r="I66" t="s">
        <v>17</v>
      </c>
    </row>
    <row r="67" spans="1:9" x14ac:dyDescent="0.8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9</v>
      </c>
      <c r="I67" t="s">
        <v>15</v>
      </c>
    </row>
    <row r="68" spans="1:9" x14ac:dyDescent="0.8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9</v>
      </c>
      <c r="I68" t="s">
        <v>68</v>
      </c>
    </row>
    <row r="69" spans="1:9" x14ac:dyDescent="0.8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9</v>
      </c>
      <c r="I69" t="s">
        <v>69</v>
      </c>
    </row>
    <row r="70" spans="1:9" x14ac:dyDescent="0.8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9</v>
      </c>
      <c r="I70" t="s">
        <v>70</v>
      </c>
    </row>
    <row r="71" spans="1:9" x14ac:dyDescent="0.8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9</v>
      </c>
      <c r="I71" t="s">
        <v>71</v>
      </c>
    </row>
    <row r="72" spans="1:9" x14ac:dyDescent="0.8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9</v>
      </c>
      <c r="I72" t="s">
        <v>72</v>
      </c>
    </row>
    <row r="73" spans="1:9" x14ac:dyDescent="0.8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24</v>
      </c>
      <c r="I73" t="s">
        <v>73</v>
      </c>
    </row>
    <row r="74" spans="1:9" x14ac:dyDescent="0.8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9</v>
      </c>
      <c r="I74" t="s">
        <v>74</v>
      </c>
    </row>
    <row r="75" spans="1:9" x14ac:dyDescent="0.8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9</v>
      </c>
      <c r="I75" t="s">
        <v>75</v>
      </c>
    </row>
    <row r="76" spans="1:9" x14ac:dyDescent="0.8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9</v>
      </c>
      <c r="I76" t="s">
        <v>76</v>
      </c>
    </row>
    <row r="77" spans="1:9" x14ac:dyDescent="0.8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9</v>
      </c>
      <c r="I77" t="s">
        <v>77</v>
      </c>
    </row>
    <row r="78" spans="1:9" x14ac:dyDescent="0.8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30</v>
      </c>
      <c r="I78" t="s">
        <v>78</v>
      </c>
    </row>
    <row r="79" spans="1:9" x14ac:dyDescent="0.8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30</v>
      </c>
      <c r="I79" t="s">
        <v>79</v>
      </c>
    </row>
    <row r="80" spans="1:9" x14ac:dyDescent="0.8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30</v>
      </c>
      <c r="I80" t="s">
        <v>80</v>
      </c>
    </row>
    <row r="81" spans="1:9" x14ac:dyDescent="0.8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30</v>
      </c>
      <c r="I81" t="s">
        <v>81</v>
      </c>
    </row>
    <row r="82" spans="1:9" x14ac:dyDescent="0.8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9</v>
      </c>
      <c r="I82" t="s">
        <v>82</v>
      </c>
    </row>
    <row r="83" spans="1:9" x14ac:dyDescent="0.8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24</v>
      </c>
      <c r="I83" t="s">
        <v>83</v>
      </c>
    </row>
    <row r="84" spans="1:9" x14ac:dyDescent="0.8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24</v>
      </c>
      <c r="I84" t="s">
        <v>84</v>
      </c>
    </row>
    <row r="85" spans="1:9" x14ac:dyDescent="0.8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9</v>
      </c>
      <c r="I85" t="s">
        <v>85</v>
      </c>
    </row>
    <row r="86" spans="1:9" x14ac:dyDescent="0.8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24</v>
      </c>
      <c r="I86" t="s">
        <v>86</v>
      </c>
    </row>
    <row r="87" spans="1:9" x14ac:dyDescent="0.8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9</v>
      </c>
      <c r="I87" t="s">
        <v>87</v>
      </c>
    </row>
    <row r="88" spans="1:9" x14ac:dyDescent="0.8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9</v>
      </c>
      <c r="I88" t="s">
        <v>46</v>
      </c>
    </row>
    <row r="89" spans="1:9" x14ac:dyDescent="0.8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9</v>
      </c>
      <c r="I89" t="s">
        <v>88</v>
      </c>
    </row>
    <row r="90" spans="1:9" x14ac:dyDescent="0.8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9</v>
      </c>
      <c r="I90" t="s">
        <v>89</v>
      </c>
    </row>
    <row r="91" spans="1:9" x14ac:dyDescent="0.8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9</v>
      </c>
      <c r="I91" t="s">
        <v>90</v>
      </c>
    </row>
    <row r="92" spans="1:9" x14ac:dyDescent="0.8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9</v>
      </c>
      <c r="I92" t="s">
        <v>91</v>
      </c>
    </row>
    <row r="93" spans="1:9" x14ac:dyDescent="0.8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9</v>
      </c>
      <c r="I93" t="s">
        <v>92</v>
      </c>
    </row>
    <row r="94" spans="1:9" x14ac:dyDescent="0.8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9</v>
      </c>
      <c r="I94" t="s">
        <v>93</v>
      </c>
    </row>
    <row r="95" spans="1:9" x14ac:dyDescent="0.8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9</v>
      </c>
      <c r="I95" t="s">
        <v>94</v>
      </c>
    </row>
    <row r="96" spans="1:9" x14ac:dyDescent="0.8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9</v>
      </c>
      <c r="I96" t="s">
        <v>95</v>
      </c>
    </row>
    <row r="97" spans="1:9" x14ac:dyDescent="0.8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9</v>
      </c>
      <c r="I97" t="s">
        <v>96</v>
      </c>
    </row>
    <row r="98" spans="1:9" x14ac:dyDescent="0.8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9</v>
      </c>
      <c r="I98" t="s">
        <v>97</v>
      </c>
    </row>
    <row r="99" spans="1:9" x14ac:dyDescent="0.8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9</v>
      </c>
      <c r="I99" t="s">
        <v>98</v>
      </c>
    </row>
    <row r="100" spans="1:9" x14ac:dyDescent="0.8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9</v>
      </c>
      <c r="I100" t="s">
        <v>99</v>
      </c>
    </row>
    <row r="101" spans="1:9" x14ac:dyDescent="0.8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9</v>
      </c>
      <c r="I101" t="s">
        <v>27</v>
      </c>
    </row>
    <row r="102" spans="1:9" x14ac:dyDescent="0.8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9</v>
      </c>
      <c r="I102" t="s">
        <v>28</v>
      </c>
    </row>
    <row r="103" spans="1:9" x14ac:dyDescent="0.8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9</v>
      </c>
      <c r="I103" t="s">
        <v>26</v>
      </c>
    </row>
    <row r="104" spans="1:9" x14ac:dyDescent="0.8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30</v>
      </c>
      <c r="I104" t="s">
        <v>100</v>
      </c>
    </row>
    <row r="105" spans="1:9" x14ac:dyDescent="0.8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9</v>
      </c>
      <c r="I105" t="s">
        <v>16</v>
      </c>
    </row>
    <row r="106" spans="1:9" x14ac:dyDescent="0.8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9</v>
      </c>
      <c r="I106" t="s">
        <v>101</v>
      </c>
    </row>
    <row r="107" spans="1:9" x14ac:dyDescent="0.8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9</v>
      </c>
      <c r="I107" t="s">
        <v>102</v>
      </c>
    </row>
    <row r="108" spans="1:9" x14ac:dyDescent="0.8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9</v>
      </c>
      <c r="I108" t="s">
        <v>103</v>
      </c>
    </row>
    <row r="109" spans="1:9" x14ac:dyDescent="0.8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9</v>
      </c>
      <c r="I109" t="s">
        <v>36</v>
      </c>
    </row>
    <row r="110" spans="1:9" x14ac:dyDescent="0.8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24</v>
      </c>
      <c r="I110" t="s">
        <v>104</v>
      </c>
    </row>
    <row r="111" spans="1:9" x14ac:dyDescent="0.8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9</v>
      </c>
      <c r="I111" t="s">
        <v>66</v>
      </c>
    </row>
    <row r="112" spans="1:9" x14ac:dyDescent="0.8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24</v>
      </c>
      <c r="I112" t="s">
        <v>105</v>
      </c>
    </row>
    <row r="113" spans="1:9" x14ac:dyDescent="0.8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24</v>
      </c>
      <c r="I113" t="s">
        <v>106</v>
      </c>
    </row>
    <row r="114" spans="1:9" x14ac:dyDescent="0.8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9</v>
      </c>
      <c r="I114" t="s">
        <v>43</v>
      </c>
    </row>
    <row r="115" spans="1:9" x14ac:dyDescent="0.8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9</v>
      </c>
      <c r="I115" t="s">
        <v>107</v>
      </c>
    </row>
    <row r="116" spans="1:9" x14ac:dyDescent="0.8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30</v>
      </c>
      <c r="I116" t="s">
        <v>108</v>
      </c>
    </row>
    <row r="117" spans="1:9" x14ac:dyDescent="0.8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9</v>
      </c>
      <c r="I117" t="s">
        <v>109</v>
      </c>
    </row>
    <row r="118" spans="1:9" x14ac:dyDescent="0.8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9</v>
      </c>
      <c r="I118" t="s">
        <v>110</v>
      </c>
    </row>
    <row r="119" spans="1:9" x14ac:dyDescent="0.8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30</v>
      </c>
      <c r="I119" t="s">
        <v>111</v>
      </c>
    </row>
    <row r="120" spans="1:9" x14ac:dyDescent="0.8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30</v>
      </c>
      <c r="I120" t="s">
        <v>112</v>
      </c>
    </row>
    <row r="121" spans="1:9" x14ac:dyDescent="0.8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30</v>
      </c>
      <c r="I121" t="s">
        <v>113</v>
      </c>
    </row>
    <row r="122" spans="1:9" x14ac:dyDescent="0.8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30</v>
      </c>
      <c r="I122" t="s">
        <v>114</v>
      </c>
    </row>
    <row r="123" spans="1:9" x14ac:dyDescent="0.8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9</v>
      </c>
      <c r="I123" t="s">
        <v>115</v>
      </c>
    </row>
    <row r="124" spans="1:9" x14ac:dyDescent="0.8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30</v>
      </c>
      <c r="I124" t="s">
        <v>116</v>
      </c>
    </row>
    <row r="125" spans="1:9" x14ac:dyDescent="0.8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24</v>
      </c>
      <c r="I125" t="s">
        <v>117</v>
      </c>
    </row>
    <row r="126" spans="1:9" x14ac:dyDescent="0.8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9</v>
      </c>
      <c r="I126" t="s">
        <v>118</v>
      </c>
    </row>
    <row r="127" spans="1:9" x14ac:dyDescent="0.8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9</v>
      </c>
      <c r="I127" t="s">
        <v>26</v>
      </c>
    </row>
    <row r="128" spans="1:9" x14ac:dyDescent="0.8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9</v>
      </c>
      <c r="I128" t="s">
        <v>28</v>
      </c>
    </row>
    <row r="129" spans="1:9" x14ac:dyDescent="0.8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9</v>
      </c>
      <c r="I129" t="s">
        <v>27</v>
      </c>
    </row>
    <row r="130" spans="1:9" x14ac:dyDescent="0.8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9</v>
      </c>
      <c r="I130" t="s">
        <v>119</v>
      </c>
    </row>
    <row r="131" spans="1:9" x14ac:dyDescent="0.8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24</v>
      </c>
      <c r="I131" t="s">
        <v>120</v>
      </c>
    </row>
    <row r="132" spans="1:9" x14ac:dyDescent="0.8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9</v>
      </c>
      <c r="I132" t="s">
        <v>43</v>
      </c>
    </row>
    <row r="133" spans="1:9" x14ac:dyDescent="0.8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24</v>
      </c>
      <c r="I133" t="s">
        <v>59</v>
      </c>
    </row>
    <row r="134" spans="1:9" x14ac:dyDescent="0.8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9</v>
      </c>
      <c r="I134" t="s">
        <v>66</v>
      </c>
    </row>
    <row r="135" spans="1:9" x14ac:dyDescent="0.8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9</v>
      </c>
      <c r="I135" t="s">
        <v>121</v>
      </c>
    </row>
    <row r="136" spans="1:9" x14ac:dyDescent="0.8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9</v>
      </c>
      <c r="I136" t="s">
        <v>46</v>
      </c>
    </row>
    <row r="137" spans="1:9" x14ac:dyDescent="0.8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9</v>
      </c>
      <c r="I137" t="s">
        <v>122</v>
      </c>
    </row>
    <row r="138" spans="1:9" x14ac:dyDescent="0.8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9</v>
      </c>
      <c r="I138" t="s">
        <v>89</v>
      </c>
    </row>
    <row r="139" spans="1:9" x14ac:dyDescent="0.8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9</v>
      </c>
      <c r="I139" t="s">
        <v>123</v>
      </c>
    </row>
    <row r="140" spans="1:9" x14ac:dyDescent="0.8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9</v>
      </c>
      <c r="I140" t="s">
        <v>124</v>
      </c>
    </row>
    <row r="141" spans="1:9" x14ac:dyDescent="0.8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9</v>
      </c>
      <c r="I141" t="s">
        <v>76</v>
      </c>
    </row>
    <row r="142" spans="1:9" x14ac:dyDescent="0.8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9</v>
      </c>
      <c r="I142" t="s">
        <v>74</v>
      </c>
    </row>
    <row r="143" spans="1:9" x14ac:dyDescent="0.8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30</v>
      </c>
      <c r="I143" t="s">
        <v>125</v>
      </c>
    </row>
    <row r="144" spans="1:9" x14ac:dyDescent="0.8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30</v>
      </c>
      <c r="I144" t="s">
        <v>126</v>
      </c>
    </row>
    <row r="145" spans="1:9" x14ac:dyDescent="0.8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30</v>
      </c>
      <c r="I145" t="s">
        <v>112</v>
      </c>
    </row>
    <row r="146" spans="1:9" x14ac:dyDescent="0.8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24</v>
      </c>
      <c r="I146" t="s">
        <v>42</v>
      </c>
    </row>
    <row r="147" spans="1:9" x14ac:dyDescent="0.8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24</v>
      </c>
      <c r="I147" t="s">
        <v>127</v>
      </c>
    </row>
    <row r="148" spans="1:9" x14ac:dyDescent="0.8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9</v>
      </c>
      <c r="I148" t="s">
        <v>128</v>
      </c>
    </row>
    <row r="149" spans="1:9" x14ac:dyDescent="0.8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30</v>
      </c>
      <c r="I149" t="s">
        <v>111</v>
      </c>
    </row>
    <row r="150" spans="1:9" x14ac:dyDescent="0.8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30</v>
      </c>
      <c r="I150" t="s">
        <v>129</v>
      </c>
    </row>
    <row r="151" spans="1:9" x14ac:dyDescent="0.8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24</v>
      </c>
      <c r="I151" t="s">
        <v>130</v>
      </c>
    </row>
    <row r="152" spans="1:9" x14ac:dyDescent="0.8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24</v>
      </c>
      <c r="I152" t="s">
        <v>131</v>
      </c>
    </row>
    <row r="153" spans="1:9" x14ac:dyDescent="0.8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30</v>
      </c>
      <c r="I153" t="s">
        <v>132</v>
      </c>
    </row>
    <row r="154" spans="1:9" x14ac:dyDescent="0.8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9</v>
      </c>
      <c r="I154" t="s">
        <v>133</v>
      </c>
    </row>
    <row r="155" spans="1:9" x14ac:dyDescent="0.8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9</v>
      </c>
      <c r="I155" t="s">
        <v>119</v>
      </c>
    </row>
    <row r="156" spans="1:9" x14ac:dyDescent="0.8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9</v>
      </c>
      <c r="I156" t="s">
        <v>134</v>
      </c>
    </row>
    <row r="157" spans="1:9" x14ac:dyDescent="0.8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9</v>
      </c>
      <c r="I157" t="s">
        <v>28</v>
      </c>
    </row>
    <row r="158" spans="1:9" x14ac:dyDescent="0.8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9</v>
      </c>
      <c r="I158" t="s">
        <v>18</v>
      </c>
    </row>
    <row r="159" spans="1:9" x14ac:dyDescent="0.8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9</v>
      </c>
      <c r="I159" t="s">
        <v>135</v>
      </c>
    </row>
    <row r="160" spans="1:9" x14ac:dyDescent="0.8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9</v>
      </c>
      <c r="I160" t="s">
        <v>136</v>
      </c>
    </row>
    <row r="161" spans="1:9" x14ac:dyDescent="0.8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9</v>
      </c>
      <c r="I161" t="s">
        <v>93</v>
      </c>
    </row>
    <row r="162" spans="1:9" x14ac:dyDescent="0.8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9</v>
      </c>
      <c r="I162" t="s">
        <v>137</v>
      </c>
    </row>
    <row r="163" spans="1:9" x14ac:dyDescent="0.8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9</v>
      </c>
      <c r="I163" t="s">
        <v>138</v>
      </c>
    </row>
    <row r="164" spans="1:9" x14ac:dyDescent="0.8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9</v>
      </c>
      <c r="I164" t="s">
        <v>46</v>
      </c>
    </row>
    <row r="165" spans="1:9" x14ac:dyDescent="0.8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9</v>
      </c>
      <c r="I165" t="s">
        <v>139</v>
      </c>
    </row>
    <row r="166" spans="1:9" x14ac:dyDescent="0.8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9</v>
      </c>
      <c r="I166" t="s">
        <v>140</v>
      </c>
    </row>
    <row r="167" spans="1:9" x14ac:dyDescent="0.8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9</v>
      </c>
      <c r="I167" t="s">
        <v>141</v>
      </c>
    </row>
    <row r="168" spans="1:9" x14ac:dyDescent="0.8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9</v>
      </c>
      <c r="I168" t="s">
        <v>142</v>
      </c>
    </row>
    <row r="169" spans="1:9" x14ac:dyDescent="0.8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24</v>
      </c>
      <c r="I169" t="s">
        <v>143</v>
      </c>
    </row>
    <row r="170" spans="1:9" x14ac:dyDescent="0.8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9</v>
      </c>
      <c r="I170" t="s">
        <v>43</v>
      </c>
    </row>
    <row r="171" spans="1:9" x14ac:dyDescent="0.8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9</v>
      </c>
      <c r="I171" t="s">
        <v>36</v>
      </c>
    </row>
    <row r="172" spans="1:9" x14ac:dyDescent="0.8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9</v>
      </c>
      <c r="I172" t="s">
        <v>144</v>
      </c>
    </row>
    <row r="173" spans="1:9" x14ac:dyDescent="0.8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24</v>
      </c>
      <c r="I173" t="s">
        <v>42</v>
      </c>
    </row>
    <row r="174" spans="1:9" x14ac:dyDescent="0.8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30</v>
      </c>
      <c r="I174" t="s">
        <v>126</v>
      </c>
    </row>
    <row r="175" spans="1:9" x14ac:dyDescent="0.8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24</v>
      </c>
      <c r="I175" t="s">
        <v>127</v>
      </c>
    </row>
    <row r="176" spans="1:9" x14ac:dyDescent="0.8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9</v>
      </c>
      <c r="I176" t="s">
        <v>43</v>
      </c>
    </row>
    <row r="177" spans="1:9" x14ac:dyDescent="0.8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30</v>
      </c>
      <c r="I177" t="s">
        <v>145</v>
      </c>
    </row>
    <row r="178" spans="1:9" x14ac:dyDescent="0.8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9</v>
      </c>
      <c r="I178" t="s">
        <v>146</v>
      </c>
    </row>
    <row r="179" spans="1:9" x14ac:dyDescent="0.8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30</v>
      </c>
      <c r="I179" t="s">
        <v>113</v>
      </c>
    </row>
    <row r="180" spans="1:9" x14ac:dyDescent="0.8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30</v>
      </c>
      <c r="I180" t="s">
        <v>32</v>
      </c>
    </row>
    <row r="181" spans="1:9" x14ac:dyDescent="0.8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30</v>
      </c>
      <c r="I181" t="s">
        <v>147</v>
      </c>
    </row>
    <row r="182" spans="1:9" x14ac:dyDescent="0.8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30</v>
      </c>
      <c r="I182" t="s">
        <v>116</v>
      </c>
    </row>
    <row r="183" spans="1:9" x14ac:dyDescent="0.8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24</v>
      </c>
      <c r="I183" t="s">
        <v>148</v>
      </c>
    </row>
    <row r="184" spans="1:9" x14ac:dyDescent="0.8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30</v>
      </c>
      <c r="I184" t="s">
        <v>149</v>
      </c>
    </row>
    <row r="185" spans="1:9" x14ac:dyDescent="0.8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30</v>
      </c>
      <c r="I185" t="s">
        <v>56</v>
      </c>
    </row>
    <row r="186" spans="1:9" x14ac:dyDescent="0.8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9</v>
      </c>
      <c r="I186" t="s">
        <v>150</v>
      </c>
    </row>
    <row r="187" spans="1:9" x14ac:dyDescent="0.8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9</v>
      </c>
      <c r="I187" t="s">
        <v>128</v>
      </c>
    </row>
    <row r="188" spans="1:9" x14ac:dyDescent="0.8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30</v>
      </c>
      <c r="I188" t="s">
        <v>151</v>
      </c>
    </row>
    <row r="189" spans="1:9" x14ac:dyDescent="0.8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9</v>
      </c>
      <c r="I189" t="s">
        <v>121</v>
      </c>
    </row>
    <row r="190" spans="1:9" x14ac:dyDescent="0.8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9</v>
      </c>
      <c r="I190" t="s">
        <v>152</v>
      </c>
    </row>
    <row r="191" spans="1:9" x14ac:dyDescent="0.8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9</v>
      </c>
      <c r="I191" t="s">
        <v>46</v>
      </c>
    </row>
    <row r="192" spans="1:9" x14ac:dyDescent="0.8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9</v>
      </c>
      <c r="I192" t="s">
        <v>89</v>
      </c>
    </row>
    <row r="193" spans="1:9" x14ac:dyDescent="0.8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9</v>
      </c>
      <c r="I193" t="s">
        <v>98</v>
      </c>
    </row>
    <row r="194" spans="1:9" x14ac:dyDescent="0.8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9</v>
      </c>
      <c r="I194" t="s">
        <v>119</v>
      </c>
    </row>
    <row r="195" spans="1:9" x14ac:dyDescent="0.8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9</v>
      </c>
      <c r="I195" t="s">
        <v>28</v>
      </c>
    </row>
    <row r="196" spans="1:9" x14ac:dyDescent="0.8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9</v>
      </c>
      <c r="I196" t="s">
        <v>27</v>
      </c>
    </row>
    <row r="197" spans="1:9" x14ac:dyDescent="0.8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9</v>
      </c>
      <c r="I197" t="s">
        <v>153</v>
      </c>
    </row>
    <row r="198" spans="1:9" x14ac:dyDescent="0.8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9</v>
      </c>
      <c r="I198" t="s">
        <v>154</v>
      </c>
    </row>
    <row r="199" spans="1:9" x14ac:dyDescent="0.8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30</v>
      </c>
      <c r="I199" t="s">
        <v>155</v>
      </c>
    </row>
    <row r="200" spans="1:9" x14ac:dyDescent="0.8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24</v>
      </c>
      <c r="I200" t="s">
        <v>130</v>
      </c>
    </row>
    <row r="201" spans="1:9" x14ac:dyDescent="0.8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9</v>
      </c>
      <c r="I201" t="s">
        <v>156</v>
      </c>
    </row>
    <row r="202" spans="1:9" x14ac:dyDescent="0.8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9</v>
      </c>
      <c r="I202" t="s">
        <v>157</v>
      </c>
    </row>
    <row r="203" spans="1:9" x14ac:dyDescent="0.8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9</v>
      </c>
      <c r="I203" t="s">
        <v>158</v>
      </c>
    </row>
    <row r="204" spans="1:9" x14ac:dyDescent="0.8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9</v>
      </c>
      <c r="I204" t="s">
        <v>159</v>
      </c>
    </row>
    <row r="205" spans="1:9" x14ac:dyDescent="0.8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30</v>
      </c>
      <c r="I205" t="s">
        <v>145</v>
      </c>
    </row>
    <row r="206" spans="1:9" x14ac:dyDescent="0.8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24</v>
      </c>
      <c r="I206" t="s">
        <v>160</v>
      </c>
    </row>
    <row r="207" spans="1:9" x14ac:dyDescent="0.8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24</v>
      </c>
      <c r="I207" t="s">
        <v>143</v>
      </c>
    </row>
    <row r="208" spans="1:9" x14ac:dyDescent="0.8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9</v>
      </c>
      <c r="I208" t="s">
        <v>43</v>
      </c>
    </row>
    <row r="209" spans="1:9" x14ac:dyDescent="0.8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30</v>
      </c>
      <c r="I209" t="s">
        <v>161</v>
      </c>
    </row>
    <row r="210" spans="1:9" x14ac:dyDescent="0.8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9</v>
      </c>
      <c r="I210" t="s">
        <v>162</v>
      </c>
    </row>
    <row r="211" spans="1:9" x14ac:dyDescent="0.8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30</v>
      </c>
      <c r="I211" t="s">
        <v>32</v>
      </c>
    </row>
    <row r="212" spans="1:9" x14ac:dyDescent="0.8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24</v>
      </c>
      <c r="I212" t="s">
        <v>117</v>
      </c>
    </row>
    <row r="213" spans="1:9" x14ac:dyDescent="0.8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30</v>
      </c>
      <c r="I213" t="s">
        <v>163</v>
      </c>
    </row>
    <row r="214" spans="1:9" x14ac:dyDescent="0.8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9</v>
      </c>
      <c r="I214" t="s">
        <v>164</v>
      </c>
    </row>
    <row r="215" spans="1:9" x14ac:dyDescent="0.8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9</v>
      </c>
      <c r="I215" t="s">
        <v>165</v>
      </c>
    </row>
    <row r="216" spans="1:9" x14ac:dyDescent="0.8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9</v>
      </c>
      <c r="I216" t="s">
        <v>166</v>
      </c>
    </row>
    <row r="217" spans="1:9" x14ac:dyDescent="0.8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9</v>
      </c>
      <c r="I217" t="s">
        <v>167</v>
      </c>
    </row>
    <row r="218" spans="1:9" x14ac:dyDescent="0.8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24</v>
      </c>
      <c r="I218" t="s">
        <v>168</v>
      </c>
    </row>
    <row r="219" spans="1:9" x14ac:dyDescent="0.8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9</v>
      </c>
      <c r="I219" t="s">
        <v>169</v>
      </c>
    </row>
    <row r="220" spans="1:9" x14ac:dyDescent="0.8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30</v>
      </c>
      <c r="I220" t="s">
        <v>170</v>
      </c>
    </row>
    <row r="221" spans="1:9" x14ac:dyDescent="0.8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9</v>
      </c>
      <c r="I221" t="s">
        <v>171</v>
      </c>
    </row>
    <row r="222" spans="1:9" x14ac:dyDescent="0.8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24</v>
      </c>
      <c r="I222" t="s">
        <v>172</v>
      </c>
    </row>
    <row r="223" spans="1:9" x14ac:dyDescent="0.8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9</v>
      </c>
      <c r="I223" t="s">
        <v>92</v>
      </c>
    </row>
    <row r="224" spans="1:9" x14ac:dyDescent="0.8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9</v>
      </c>
      <c r="I224" t="s">
        <v>173</v>
      </c>
    </row>
    <row r="225" spans="1:9" x14ac:dyDescent="0.8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9</v>
      </c>
      <c r="I225" t="s">
        <v>174</v>
      </c>
    </row>
    <row r="226" spans="1:9" x14ac:dyDescent="0.8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9</v>
      </c>
      <c r="I226" t="s">
        <v>175</v>
      </c>
    </row>
    <row r="227" spans="1:9" x14ac:dyDescent="0.8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9</v>
      </c>
      <c r="I227" t="s">
        <v>176</v>
      </c>
    </row>
    <row r="228" spans="1:9" x14ac:dyDescent="0.8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9</v>
      </c>
      <c r="I228" t="s">
        <v>177</v>
      </c>
    </row>
    <row r="229" spans="1:9" x14ac:dyDescent="0.8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9</v>
      </c>
      <c r="I229" t="s">
        <v>178</v>
      </c>
    </row>
    <row r="230" spans="1:9" x14ac:dyDescent="0.8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9</v>
      </c>
      <c r="I230" t="s">
        <v>179</v>
      </c>
    </row>
    <row r="231" spans="1:9" x14ac:dyDescent="0.8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9</v>
      </c>
      <c r="I231" t="s">
        <v>180</v>
      </c>
    </row>
    <row r="232" spans="1:9" x14ac:dyDescent="0.8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9</v>
      </c>
      <c r="I232" t="s">
        <v>181</v>
      </c>
    </row>
    <row r="233" spans="1:9" x14ac:dyDescent="0.8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9</v>
      </c>
      <c r="I233" t="s">
        <v>182</v>
      </c>
    </row>
    <row r="234" spans="1:9" x14ac:dyDescent="0.8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9</v>
      </c>
      <c r="I234" t="s">
        <v>183</v>
      </c>
    </row>
    <row r="235" spans="1:9" x14ac:dyDescent="0.8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30</v>
      </c>
      <c r="I235" t="s">
        <v>184</v>
      </c>
    </row>
    <row r="236" spans="1:9" x14ac:dyDescent="0.8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9</v>
      </c>
      <c r="I236" t="s">
        <v>185</v>
      </c>
    </row>
    <row r="237" spans="1:9" x14ac:dyDescent="0.8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24</v>
      </c>
      <c r="I237" t="s">
        <v>186</v>
      </c>
    </row>
    <row r="238" spans="1:9" x14ac:dyDescent="0.8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9</v>
      </c>
      <c r="I238" t="s">
        <v>187</v>
      </c>
    </row>
    <row r="239" spans="1:9" x14ac:dyDescent="0.8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9</v>
      </c>
      <c r="I239" t="s">
        <v>153</v>
      </c>
    </row>
    <row r="240" spans="1:9" x14ac:dyDescent="0.8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9</v>
      </c>
      <c r="I240" t="s">
        <v>188</v>
      </c>
    </row>
    <row r="241" spans="1:9" x14ac:dyDescent="0.8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24</v>
      </c>
      <c r="I241" t="s">
        <v>189</v>
      </c>
    </row>
    <row r="242" spans="1:9" x14ac:dyDescent="0.8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30</v>
      </c>
      <c r="I242" t="s">
        <v>126</v>
      </c>
    </row>
    <row r="243" spans="1:9" x14ac:dyDescent="0.8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24</v>
      </c>
      <c r="I243" t="s">
        <v>190</v>
      </c>
    </row>
    <row r="244" spans="1:9" x14ac:dyDescent="0.8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30</v>
      </c>
      <c r="I244" t="s">
        <v>191</v>
      </c>
    </row>
    <row r="245" spans="1:9" x14ac:dyDescent="0.8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24</v>
      </c>
      <c r="I245" t="s">
        <v>192</v>
      </c>
    </row>
    <row r="246" spans="1:9" x14ac:dyDescent="0.8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30</v>
      </c>
      <c r="I246" t="s">
        <v>193</v>
      </c>
    </row>
    <row r="247" spans="1:9" x14ac:dyDescent="0.8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9</v>
      </c>
      <c r="I247" t="s">
        <v>194</v>
      </c>
    </row>
    <row r="248" spans="1:9" x14ac:dyDescent="0.8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24</v>
      </c>
      <c r="I248" t="s">
        <v>195</v>
      </c>
    </row>
    <row r="249" spans="1:9" x14ac:dyDescent="0.8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24</v>
      </c>
      <c r="I249" t="s">
        <v>196</v>
      </c>
    </row>
    <row r="250" spans="1:9" x14ac:dyDescent="0.8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24</v>
      </c>
      <c r="I250" t="s">
        <v>148</v>
      </c>
    </row>
    <row r="251" spans="1:9" x14ac:dyDescent="0.8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9</v>
      </c>
      <c r="I251" t="s">
        <v>197</v>
      </c>
    </row>
    <row r="252" spans="1:9" x14ac:dyDescent="0.8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9</v>
      </c>
      <c r="I252" t="s">
        <v>198</v>
      </c>
    </row>
    <row r="253" spans="1:9" x14ac:dyDescent="0.8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9</v>
      </c>
      <c r="I253" t="s">
        <v>199</v>
      </c>
    </row>
    <row r="254" spans="1:9" x14ac:dyDescent="0.8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9</v>
      </c>
      <c r="I254" t="s">
        <v>200</v>
      </c>
    </row>
    <row r="255" spans="1:9" x14ac:dyDescent="0.8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9</v>
      </c>
      <c r="I255" t="s">
        <v>88</v>
      </c>
    </row>
    <row r="256" spans="1:9" x14ac:dyDescent="0.8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9</v>
      </c>
      <c r="I256" t="s">
        <v>201</v>
      </c>
    </row>
    <row r="257" spans="1:9" x14ac:dyDescent="0.8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9</v>
      </c>
      <c r="I257" t="s">
        <v>202</v>
      </c>
    </row>
    <row r="258" spans="1:9" x14ac:dyDescent="0.8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9</v>
      </c>
      <c r="I258" t="s">
        <v>203</v>
      </c>
    </row>
    <row r="259" spans="1:9" x14ac:dyDescent="0.8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9</v>
      </c>
      <c r="I259" t="s">
        <v>204</v>
      </c>
    </row>
    <row r="260" spans="1:9" x14ac:dyDescent="0.8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9</v>
      </c>
      <c r="I260" t="s">
        <v>205</v>
      </c>
    </row>
    <row r="261" spans="1:9" x14ac:dyDescent="0.8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9</v>
      </c>
      <c r="I261" t="s">
        <v>206</v>
      </c>
    </row>
    <row r="262" spans="1:9" x14ac:dyDescent="0.8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9</v>
      </c>
      <c r="I262" t="s">
        <v>207</v>
      </c>
    </row>
    <row r="263" spans="1:9" x14ac:dyDescent="0.8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9</v>
      </c>
      <c r="I263" t="s">
        <v>208</v>
      </c>
    </row>
    <row r="264" spans="1:9" x14ac:dyDescent="0.8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9</v>
      </c>
      <c r="I264" t="s">
        <v>181</v>
      </c>
    </row>
    <row r="265" spans="1:9" x14ac:dyDescent="0.8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9</v>
      </c>
      <c r="I265" t="s">
        <v>209</v>
      </c>
    </row>
    <row r="266" spans="1:9" x14ac:dyDescent="0.8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9</v>
      </c>
      <c r="I266" t="s">
        <v>210</v>
      </c>
    </row>
    <row r="267" spans="1:9" x14ac:dyDescent="0.8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9</v>
      </c>
      <c r="I267" t="s">
        <v>211</v>
      </c>
    </row>
    <row r="268" spans="1:9" x14ac:dyDescent="0.8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9</v>
      </c>
      <c r="I268" t="s">
        <v>153</v>
      </c>
    </row>
    <row r="269" spans="1:9" x14ac:dyDescent="0.8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24</v>
      </c>
      <c r="I269" t="s">
        <v>42</v>
      </c>
    </row>
    <row r="270" spans="1:9" x14ac:dyDescent="0.8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24</v>
      </c>
      <c r="I270" t="s">
        <v>212</v>
      </c>
    </row>
    <row r="271" spans="1:9" x14ac:dyDescent="0.8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9</v>
      </c>
      <c r="I271" t="s">
        <v>213</v>
      </c>
    </row>
    <row r="272" spans="1:9" x14ac:dyDescent="0.8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24</v>
      </c>
      <c r="I272" t="s">
        <v>214</v>
      </c>
    </row>
    <row r="273" spans="1:9" x14ac:dyDescent="0.8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9</v>
      </c>
      <c r="I273" t="s">
        <v>215</v>
      </c>
    </row>
    <row r="274" spans="1:9" x14ac:dyDescent="0.8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9</v>
      </c>
      <c r="I274" t="s">
        <v>216</v>
      </c>
    </row>
    <row r="275" spans="1:9" x14ac:dyDescent="0.8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24</v>
      </c>
      <c r="I275" t="s">
        <v>217</v>
      </c>
    </row>
    <row r="276" spans="1:9" x14ac:dyDescent="0.8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30</v>
      </c>
      <c r="I276" t="s">
        <v>218</v>
      </c>
    </row>
    <row r="277" spans="1:9" x14ac:dyDescent="0.8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30</v>
      </c>
      <c r="I277" t="s">
        <v>219</v>
      </c>
    </row>
    <row r="278" spans="1:9" x14ac:dyDescent="0.8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30</v>
      </c>
      <c r="I278" t="s">
        <v>220</v>
      </c>
    </row>
    <row r="279" spans="1:9" x14ac:dyDescent="0.8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30</v>
      </c>
      <c r="I279" t="s">
        <v>221</v>
      </c>
    </row>
    <row r="280" spans="1:9" x14ac:dyDescent="0.8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30</v>
      </c>
      <c r="I280" t="s">
        <v>222</v>
      </c>
    </row>
    <row r="281" spans="1:9" x14ac:dyDescent="0.8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24</v>
      </c>
      <c r="I281" t="s">
        <v>223</v>
      </c>
    </row>
    <row r="282" spans="1:9" x14ac:dyDescent="0.8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9</v>
      </c>
      <c r="I282" t="s">
        <v>224</v>
      </c>
    </row>
    <row r="283" spans="1:9" x14ac:dyDescent="0.8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9</v>
      </c>
      <c r="I283" t="s">
        <v>225</v>
      </c>
    </row>
    <row r="284" spans="1:9" x14ac:dyDescent="0.8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9</v>
      </c>
      <c r="I284" t="s">
        <v>226</v>
      </c>
    </row>
    <row r="285" spans="1:9" x14ac:dyDescent="0.8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9</v>
      </c>
      <c r="I285" t="s">
        <v>227</v>
      </c>
    </row>
    <row r="286" spans="1:9" x14ac:dyDescent="0.8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9</v>
      </c>
      <c r="I286" t="s">
        <v>228</v>
      </c>
    </row>
    <row r="287" spans="1:9" x14ac:dyDescent="0.8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9</v>
      </c>
      <c r="I287" t="s">
        <v>92</v>
      </c>
    </row>
    <row r="288" spans="1:9" x14ac:dyDescent="0.8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9</v>
      </c>
      <c r="I288" t="s">
        <v>229</v>
      </c>
    </row>
    <row r="289" spans="1:9" x14ac:dyDescent="0.8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9</v>
      </c>
      <c r="I289" t="s">
        <v>230</v>
      </c>
    </row>
    <row r="290" spans="1:9" x14ac:dyDescent="0.8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9</v>
      </c>
      <c r="I290" t="s">
        <v>231</v>
      </c>
    </row>
    <row r="291" spans="1:9" x14ac:dyDescent="0.8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9</v>
      </c>
      <c r="I291" t="s">
        <v>23</v>
      </c>
    </row>
    <row r="292" spans="1:9" x14ac:dyDescent="0.8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9</v>
      </c>
      <c r="I292" t="s">
        <v>49</v>
      </c>
    </row>
    <row r="293" spans="1:9" x14ac:dyDescent="0.8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9</v>
      </c>
      <c r="I293" t="s">
        <v>232</v>
      </c>
    </row>
    <row r="294" spans="1:9" x14ac:dyDescent="0.8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9</v>
      </c>
      <c r="I294" t="s">
        <v>233</v>
      </c>
    </row>
    <row r="295" spans="1:9" x14ac:dyDescent="0.8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30</v>
      </c>
      <c r="I295" t="s">
        <v>234</v>
      </c>
    </row>
    <row r="296" spans="1:9" x14ac:dyDescent="0.8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24</v>
      </c>
      <c r="I296" t="s">
        <v>235</v>
      </c>
    </row>
    <row r="297" spans="1:9" x14ac:dyDescent="0.8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9</v>
      </c>
      <c r="I297" t="s">
        <v>236</v>
      </c>
    </row>
    <row r="298" spans="1:9" x14ac:dyDescent="0.8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9</v>
      </c>
      <c r="I298" t="s">
        <v>237</v>
      </c>
    </row>
    <row r="299" spans="1:9" x14ac:dyDescent="0.8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30</v>
      </c>
      <c r="I299" t="s">
        <v>238</v>
      </c>
    </row>
    <row r="300" spans="1:9" x14ac:dyDescent="0.8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9</v>
      </c>
      <c r="I300" t="s">
        <v>239</v>
      </c>
    </row>
    <row r="301" spans="1:9" x14ac:dyDescent="0.8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30</v>
      </c>
      <c r="I301" t="s">
        <v>32</v>
      </c>
    </row>
    <row r="302" spans="1:9" x14ac:dyDescent="0.8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9</v>
      </c>
      <c r="I302" t="s">
        <v>197</v>
      </c>
    </row>
    <row r="303" spans="1:9" x14ac:dyDescent="0.8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9</v>
      </c>
      <c r="I303" t="s">
        <v>240</v>
      </c>
    </row>
    <row r="304" spans="1:9" x14ac:dyDescent="0.8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9</v>
      </c>
      <c r="I304" t="s">
        <v>241</v>
      </c>
    </row>
    <row r="305" spans="1:9" x14ac:dyDescent="0.8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24</v>
      </c>
      <c r="I305" t="s">
        <v>242</v>
      </c>
    </row>
    <row r="306" spans="1:9" x14ac:dyDescent="0.8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30</v>
      </c>
      <c r="I306" t="s">
        <v>243</v>
      </c>
    </row>
    <row r="307" spans="1:9" x14ac:dyDescent="0.8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9</v>
      </c>
      <c r="I307" t="s">
        <v>244</v>
      </c>
    </row>
    <row r="308" spans="1:9" x14ac:dyDescent="0.8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9</v>
      </c>
      <c r="I308" t="s">
        <v>245</v>
      </c>
    </row>
    <row r="309" spans="1:9" x14ac:dyDescent="0.8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9</v>
      </c>
      <c r="I309" t="s">
        <v>246</v>
      </c>
    </row>
    <row r="310" spans="1:9" x14ac:dyDescent="0.8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9</v>
      </c>
      <c r="I310" t="s">
        <v>247</v>
      </c>
    </row>
    <row r="311" spans="1:9" x14ac:dyDescent="0.8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30</v>
      </c>
      <c r="I311" t="s">
        <v>155</v>
      </c>
    </row>
    <row r="312" spans="1:9" x14ac:dyDescent="0.8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24</v>
      </c>
      <c r="I312" t="s">
        <v>248</v>
      </c>
    </row>
    <row r="313" spans="1:9" x14ac:dyDescent="0.8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9</v>
      </c>
      <c r="I313" t="s">
        <v>153</v>
      </c>
    </row>
    <row r="314" spans="1:9" x14ac:dyDescent="0.8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24</v>
      </c>
      <c r="I314" t="s">
        <v>249</v>
      </c>
    </row>
    <row r="315" spans="1:9" x14ac:dyDescent="0.8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9</v>
      </c>
      <c r="I315" t="s">
        <v>245</v>
      </c>
    </row>
    <row r="316" spans="1:9" x14ac:dyDescent="0.8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9</v>
      </c>
      <c r="I316" t="s">
        <v>250</v>
      </c>
    </row>
    <row r="317" spans="1:9" x14ac:dyDescent="0.8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9</v>
      </c>
      <c r="I317" t="s">
        <v>204</v>
      </c>
    </row>
    <row r="318" spans="1:9" x14ac:dyDescent="0.8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9</v>
      </c>
      <c r="I318" t="s">
        <v>207</v>
      </c>
    </row>
    <row r="319" spans="1:9" x14ac:dyDescent="0.8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30</v>
      </c>
      <c r="I319" t="s">
        <v>251</v>
      </c>
    </row>
    <row r="320" spans="1:9" x14ac:dyDescent="0.8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24</v>
      </c>
      <c r="I320" t="s">
        <v>252</v>
      </c>
    </row>
    <row r="321" spans="1:9" x14ac:dyDescent="0.8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24</v>
      </c>
      <c r="I321" t="s">
        <v>253</v>
      </c>
    </row>
    <row r="322" spans="1:9" x14ac:dyDescent="0.8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24</v>
      </c>
      <c r="I322" t="s">
        <v>254</v>
      </c>
    </row>
    <row r="323" spans="1:9" x14ac:dyDescent="0.8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24</v>
      </c>
      <c r="I323" t="s">
        <v>143</v>
      </c>
    </row>
    <row r="324" spans="1:9" x14ac:dyDescent="0.8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24</v>
      </c>
      <c r="I324" t="s">
        <v>255</v>
      </c>
    </row>
    <row r="325" spans="1:9" x14ac:dyDescent="0.8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9</v>
      </c>
      <c r="I325" t="s">
        <v>128</v>
      </c>
    </row>
    <row r="326" spans="1:9" x14ac:dyDescent="0.8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24</v>
      </c>
      <c r="I326" t="s">
        <v>242</v>
      </c>
    </row>
    <row r="327" spans="1:9" x14ac:dyDescent="0.8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30</v>
      </c>
      <c r="I327" t="s">
        <v>256</v>
      </c>
    </row>
    <row r="328" spans="1:9" x14ac:dyDescent="0.8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30</v>
      </c>
      <c r="I328" t="s">
        <v>257</v>
      </c>
    </row>
    <row r="329" spans="1:9" x14ac:dyDescent="0.8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30</v>
      </c>
      <c r="I329" t="s">
        <v>258</v>
      </c>
    </row>
    <row r="330" spans="1:9" x14ac:dyDescent="0.8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30</v>
      </c>
      <c r="I330" t="s">
        <v>259</v>
      </c>
    </row>
    <row r="331" spans="1:9" x14ac:dyDescent="0.8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24</v>
      </c>
      <c r="I331" t="s">
        <v>260</v>
      </c>
    </row>
    <row r="332" spans="1:9" x14ac:dyDescent="0.8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30</v>
      </c>
      <c r="I332" t="s">
        <v>261</v>
      </c>
    </row>
    <row r="333" spans="1:9" x14ac:dyDescent="0.8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24</v>
      </c>
      <c r="I333" t="s">
        <v>189</v>
      </c>
    </row>
    <row r="334" spans="1:9" x14ac:dyDescent="0.8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30</v>
      </c>
      <c r="I334" t="s">
        <v>262</v>
      </c>
    </row>
    <row r="335" spans="1:9" x14ac:dyDescent="0.8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24</v>
      </c>
      <c r="I335" t="s">
        <v>263</v>
      </c>
    </row>
    <row r="336" spans="1:9" x14ac:dyDescent="0.8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24</v>
      </c>
      <c r="I336" t="s">
        <v>264</v>
      </c>
    </row>
    <row r="337" spans="1:9" x14ac:dyDescent="0.8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30</v>
      </c>
      <c r="I337" t="s">
        <v>265</v>
      </c>
    </row>
    <row r="338" spans="1:9" x14ac:dyDescent="0.8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9</v>
      </c>
      <c r="I338" t="s">
        <v>266</v>
      </c>
    </row>
    <row r="339" spans="1:9" x14ac:dyDescent="0.8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24</v>
      </c>
      <c r="I339" t="s">
        <v>267</v>
      </c>
    </row>
    <row r="340" spans="1:9" x14ac:dyDescent="0.8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9</v>
      </c>
      <c r="I340" t="s">
        <v>268</v>
      </c>
    </row>
    <row r="341" spans="1:9" x14ac:dyDescent="0.8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9</v>
      </c>
      <c r="I341" t="s">
        <v>177</v>
      </c>
    </row>
    <row r="342" spans="1:9" x14ac:dyDescent="0.8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9</v>
      </c>
      <c r="I342" t="s">
        <v>269</v>
      </c>
    </row>
    <row r="343" spans="1:9" x14ac:dyDescent="0.8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9</v>
      </c>
      <c r="I343" t="s">
        <v>245</v>
      </c>
    </row>
    <row r="344" spans="1:9" x14ac:dyDescent="0.8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9</v>
      </c>
      <c r="I344" t="s">
        <v>268</v>
      </c>
    </row>
    <row r="345" spans="1:9" x14ac:dyDescent="0.8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24</v>
      </c>
      <c r="I345" t="s">
        <v>270</v>
      </c>
    </row>
    <row r="346" spans="1:9" x14ac:dyDescent="0.8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9</v>
      </c>
      <c r="I346" t="s">
        <v>271</v>
      </c>
    </row>
    <row r="347" spans="1:9" x14ac:dyDescent="0.8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24</v>
      </c>
      <c r="I347" t="s">
        <v>272</v>
      </c>
    </row>
    <row r="348" spans="1:9" x14ac:dyDescent="0.8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24</v>
      </c>
      <c r="I348" t="s">
        <v>131</v>
      </c>
    </row>
    <row r="349" spans="1:9" x14ac:dyDescent="0.8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24</v>
      </c>
      <c r="I349" t="s">
        <v>273</v>
      </c>
    </row>
    <row r="350" spans="1:9" x14ac:dyDescent="0.8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24</v>
      </c>
      <c r="I350" t="s">
        <v>274</v>
      </c>
    </row>
    <row r="351" spans="1:9" x14ac:dyDescent="0.8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24</v>
      </c>
      <c r="I351" t="s">
        <v>275</v>
      </c>
    </row>
    <row r="352" spans="1:9" x14ac:dyDescent="0.8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9</v>
      </c>
      <c r="I352" t="s">
        <v>276</v>
      </c>
    </row>
    <row r="353" spans="1:9" x14ac:dyDescent="0.8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9</v>
      </c>
      <c r="I353" t="s">
        <v>277</v>
      </c>
    </row>
    <row r="354" spans="1:9" x14ac:dyDescent="0.8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9</v>
      </c>
      <c r="I354" t="s">
        <v>278</v>
      </c>
    </row>
    <row r="355" spans="1:9" x14ac:dyDescent="0.8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30</v>
      </c>
      <c r="I355" t="s">
        <v>279</v>
      </c>
    </row>
    <row r="356" spans="1:9" x14ac:dyDescent="0.8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30</v>
      </c>
      <c r="I356" t="s">
        <v>280</v>
      </c>
    </row>
    <row r="357" spans="1:9" x14ac:dyDescent="0.8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24</v>
      </c>
      <c r="I357" t="s">
        <v>281</v>
      </c>
    </row>
    <row r="358" spans="1:9" x14ac:dyDescent="0.8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24</v>
      </c>
      <c r="I358" t="s">
        <v>143</v>
      </c>
    </row>
    <row r="359" spans="1:9" x14ac:dyDescent="0.8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24</v>
      </c>
      <c r="I359" t="s">
        <v>282</v>
      </c>
    </row>
    <row r="360" spans="1:9" x14ac:dyDescent="0.8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24</v>
      </c>
      <c r="I360" t="s">
        <v>253</v>
      </c>
    </row>
    <row r="361" spans="1:9" x14ac:dyDescent="0.8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30</v>
      </c>
      <c r="I361" t="s">
        <v>283</v>
      </c>
    </row>
    <row r="362" spans="1:9" x14ac:dyDescent="0.8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30</v>
      </c>
      <c r="I362" t="s">
        <v>284</v>
      </c>
    </row>
    <row r="363" spans="1:9" x14ac:dyDescent="0.8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24</v>
      </c>
      <c r="I363" t="s">
        <v>285</v>
      </c>
    </row>
    <row r="364" spans="1:9" x14ac:dyDescent="0.8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24</v>
      </c>
      <c r="I364" t="s">
        <v>286</v>
      </c>
    </row>
    <row r="365" spans="1:9" x14ac:dyDescent="0.8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9</v>
      </c>
      <c r="I365" t="s">
        <v>137</v>
      </c>
    </row>
    <row r="366" spans="1:9" x14ac:dyDescent="0.8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9</v>
      </c>
      <c r="I366" t="s">
        <v>287</v>
      </c>
    </row>
    <row r="367" spans="1:9" x14ac:dyDescent="0.8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9</v>
      </c>
      <c r="I367" t="s">
        <v>288</v>
      </c>
    </row>
    <row r="368" spans="1:9" x14ac:dyDescent="0.8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9</v>
      </c>
      <c r="I368" t="s">
        <v>289</v>
      </c>
    </row>
    <row r="369" spans="1:9" x14ac:dyDescent="0.8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9</v>
      </c>
      <c r="I369" t="s">
        <v>290</v>
      </c>
    </row>
    <row r="370" spans="1:9" x14ac:dyDescent="0.8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9</v>
      </c>
      <c r="I370" t="s">
        <v>291</v>
      </c>
    </row>
    <row r="371" spans="1:9" x14ac:dyDescent="0.8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9</v>
      </c>
      <c r="I371" t="s">
        <v>292</v>
      </c>
    </row>
    <row r="372" spans="1:9" x14ac:dyDescent="0.8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9</v>
      </c>
      <c r="I372" t="s">
        <v>293</v>
      </c>
    </row>
    <row r="373" spans="1:9" x14ac:dyDescent="0.8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9</v>
      </c>
      <c r="I373" t="s">
        <v>294</v>
      </c>
    </row>
    <row r="374" spans="1:9" x14ac:dyDescent="0.8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9</v>
      </c>
      <c r="I374" t="s">
        <v>247</v>
      </c>
    </row>
    <row r="375" spans="1:9" x14ac:dyDescent="0.8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9</v>
      </c>
      <c r="I375" t="s">
        <v>295</v>
      </c>
    </row>
    <row r="376" spans="1:9" x14ac:dyDescent="0.8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9</v>
      </c>
      <c r="I376" t="s">
        <v>296</v>
      </c>
    </row>
    <row r="377" spans="1:9" x14ac:dyDescent="0.8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30</v>
      </c>
      <c r="I377" t="s">
        <v>297</v>
      </c>
    </row>
    <row r="378" spans="1:9" x14ac:dyDescent="0.8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24</v>
      </c>
      <c r="I378" t="s">
        <v>298</v>
      </c>
    </row>
    <row r="379" spans="1:9" x14ac:dyDescent="0.8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24</v>
      </c>
      <c r="I379" t="s">
        <v>299</v>
      </c>
    </row>
    <row r="380" spans="1:9" x14ac:dyDescent="0.8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9</v>
      </c>
      <c r="I380" t="s">
        <v>300</v>
      </c>
    </row>
    <row r="381" spans="1:9" x14ac:dyDescent="0.8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9</v>
      </c>
      <c r="I381" t="s">
        <v>301</v>
      </c>
    </row>
    <row r="382" spans="1:9" x14ac:dyDescent="0.8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24</v>
      </c>
      <c r="I382" t="s">
        <v>302</v>
      </c>
    </row>
    <row r="383" spans="1:9" x14ac:dyDescent="0.8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24</v>
      </c>
      <c r="I383" t="s">
        <v>267</v>
      </c>
    </row>
    <row r="384" spans="1:9" x14ac:dyDescent="0.8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24</v>
      </c>
      <c r="I384" t="s">
        <v>143</v>
      </c>
    </row>
    <row r="385" spans="1:9" x14ac:dyDescent="0.8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24</v>
      </c>
      <c r="I385" t="s">
        <v>130</v>
      </c>
    </row>
    <row r="386" spans="1:9" x14ac:dyDescent="0.8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24</v>
      </c>
      <c r="I386" t="s">
        <v>303</v>
      </c>
    </row>
    <row r="387" spans="1:9" x14ac:dyDescent="0.8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24</v>
      </c>
      <c r="I387" t="s">
        <v>304</v>
      </c>
    </row>
    <row r="388" spans="1:9" x14ac:dyDescent="0.8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9</v>
      </c>
      <c r="I388" t="s">
        <v>305</v>
      </c>
    </row>
    <row r="389" spans="1:9" x14ac:dyDescent="0.8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9</v>
      </c>
      <c r="I389" t="s">
        <v>306</v>
      </c>
    </row>
    <row r="390" spans="1:9" x14ac:dyDescent="0.8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9</v>
      </c>
      <c r="I390" t="s">
        <v>307</v>
      </c>
    </row>
    <row r="391" spans="1:9" x14ac:dyDescent="0.8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9</v>
      </c>
      <c r="I391" t="s">
        <v>308</v>
      </c>
    </row>
    <row r="392" spans="1:9" x14ac:dyDescent="0.8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24</v>
      </c>
      <c r="I392" t="s">
        <v>309</v>
      </c>
    </row>
    <row r="393" spans="1:9" x14ac:dyDescent="0.8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9</v>
      </c>
      <c r="I393" t="s">
        <v>310</v>
      </c>
    </row>
    <row r="394" spans="1:9" x14ac:dyDescent="0.8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9</v>
      </c>
      <c r="I394" t="s">
        <v>311</v>
      </c>
    </row>
    <row r="395" spans="1:9" x14ac:dyDescent="0.8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9</v>
      </c>
      <c r="I395" t="s">
        <v>312</v>
      </c>
    </row>
    <row r="396" spans="1:9" x14ac:dyDescent="0.8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30</v>
      </c>
      <c r="I396" t="s">
        <v>313</v>
      </c>
    </row>
    <row r="397" spans="1:9" x14ac:dyDescent="0.8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9</v>
      </c>
      <c r="I397" t="s">
        <v>314</v>
      </c>
    </row>
    <row r="398" spans="1:9" x14ac:dyDescent="0.8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9</v>
      </c>
      <c r="I398" t="s">
        <v>315</v>
      </c>
    </row>
    <row r="399" spans="1:9" x14ac:dyDescent="0.8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9</v>
      </c>
      <c r="I399" t="s">
        <v>316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0001E-B435-4658-8DE4-D62529504D2F}">
  <dimension ref="A1:J128"/>
  <sheetViews>
    <sheetView workbookViewId="0"/>
  </sheetViews>
  <sheetFormatPr defaultRowHeight="24" x14ac:dyDescent="0.85"/>
  <sheetData>
    <row r="1" spans="1:10" ht="31.7" x14ac:dyDescent="1.1000000000000001">
      <c r="A1" s="1" t="s">
        <v>317</v>
      </c>
    </row>
    <row r="2" spans="1:10" x14ac:dyDescent="0.85">
      <c r="A2" t="s">
        <v>318</v>
      </c>
    </row>
    <row r="5" spans="1:10" x14ac:dyDescent="0.85">
      <c r="A5" s="2" t="s">
        <v>319</v>
      </c>
    </row>
    <row r="6" spans="1:10" x14ac:dyDescent="0.85">
      <c r="A6" t="e" cm="1" vm="1">
        <f t="array" ref="A6">_xlfn._xlws.PY(0,1,autompg[[#Headers],[#Data]])</f>
        <v>#VALUE!</v>
      </c>
    </row>
    <row r="8" spans="1:10" x14ac:dyDescent="0.85">
      <c r="A8" s="3" t="s">
        <v>320</v>
      </c>
    </row>
    <row r="9" spans="1:10" x14ac:dyDescent="0.85">
      <c r="A9" t="str" cm="1">
        <f t="array" ref="A9:J20">IFERROR(_FV(A6,"arrayPreview"),_xlfn._DF_Python_str(A6))</f>
        <v/>
      </c>
      <c r="B9" t="str">
        <v>mpg</v>
      </c>
      <c r="C9" t="str">
        <v>cylinders</v>
      </c>
      <c r="D9" t="str">
        <v>displacement</v>
      </c>
      <c r="E9" t="str">
        <v>horsepower</v>
      </c>
      <c r="F9" t="str">
        <v>weight</v>
      </c>
      <c r="G9" t="str">
        <v>acceleration</v>
      </c>
      <c r="H9" t="str">
        <v>model_year</v>
      </c>
      <c r="I9" t="str">
        <v>origin</v>
      </c>
      <c r="J9" t="str">
        <v>name</v>
      </c>
    </row>
    <row r="10" spans="1:10" x14ac:dyDescent="0.85">
      <c r="A10">
        <v>0</v>
      </c>
      <c r="B10">
        <v>18</v>
      </c>
      <c r="C10">
        <v>8</v>
      </c>
      <c r="D10">
        <v>307</v>
      </c>
      <c r="E10">
        <v>130</v>
      </c>
      <c r="F10">
        <v>3504</v>
      </c>
      <c r="G10">
        <v>12</v>
      </c>
      <c r="H10">
        <v>70</v>
      </c>
      <c r="I10" t="str">
        <v>usa</v>
      </c>
      <c r="J10" t="str">
        <v>chevrolet chevelle malibu</v>
      </c>
    </row>
    <row r="11" spans="1:10" x14ac:dyDescent="0.85">
      <c r="A11">
        <v>1</v>
      </c>
      <c r="B11">
        <v>15</v>
      </c>
      <c r="C11">
        <v>8</v>
      </c>
      <c r="D11">
        <v>350</v>
      </c>
      <c r="E11">
        <v>165</v>
      </c>
      <c r="F11">
        <v>3693</v>
      </c>
      <c r="G11">
        <v>11.5</v>
      </c>
      <c r="H11">
        <v>70</v>
      </c>
      <c r="I11" t="str">
        <v>usa</v>
      </c>
      <c r="J11" t="str">
        <v>buick skylark 320</v>
      </c>
    </row>
    <row r="12" spans="1:10" x14ac:dyDescent="0.85">
      <c r="A12">
        <v>2</v>
      </c>
      <c r="B12">
        <v>18</v>
      </c>
      <c r="C12">
        <v>8</v>
      </c>
      <c r="D12">
        <v>318</v>
      </c>
      <c r="E12">
        <v>150</v>
      </c>
      <c r="F12">
        <v>3436</v>
      </c>
      <c r="G12">
        <v>11</v>
      </c>
      <c r="H12">
        <v>70</v>
      </c>
      <c r="I12" t="str">
        <v>usa</v>
      </c>
      <c r="J12" t="str">
        <v>plymouth satellite</v>
      </c>
    </row>
    <row r="13" spans="1:10" x14ac:dyDescent="0.85">
      <c r="A13">
        <v>3</v>
      </c>
      <c r="B13">
        <v>16</v>
      </c>
      <c r="C13">
        <v>8</v>
      </c>
      <c r="D13">
        <v>304</v>
      </c>
      <c r="E13">
        <v>150</v>
      </c>
      <c r="F13">
        <v>3433</v>
      </c>
      <c r="G13">
        <v>12</v>
      </c>
      <c r="H13">
        <v>70</v>
      </c>
      <c r="I13" t="str">
        <v>usa</v>
      </c>
      <c r="J13" t="str">
        <v>amc rebel sst</v>
      </c>
    </row>
    <row r="14" spans="1:10" x14ac:dyDescent="0.85">
      <c r="A14">
        <v>4</v>
      </c>
      <c r="B14">
        <v>17</v>
      </c>
      <c r="C14">
        <v>8</v>
      </c>
      <c r="D14">
        <v>302</v>
      </c>
      <c r="E14">
        <v>140</v>
      </c>
      <c r="F14">
        <v>3449</v>
      </c>
      <c r="G14">
        <v>10.5</v>
      </c>
      <c r="H14">
        <v>70</v>
      </c>
      <c r="I14" t="str">
        <v>usa</v>
      </c>
      <c r="J14" t="str">
        <v>ford torino</v>
      </c>
    </row>
    <row r="15" spans="1:10" x14ac:dyDescent="0.85">
      <c r="A15" t="str">
        <v>...</v>
      </c>
      <c r="B15" t="str">
        <v>...</v>
      </c>
      <c r="C15" t="str">
        <v>...</v>
      </c>
      <c r="D15" t="str">
        <v>...</v>
      </c>
      <c r="E15" t="str">
        <v>...</v>
      </c>
      <c r="F15" t="str">
        <v>...</v>
      </c>
      <c r="G15" t="str">
        <v>...</v>
      </c>
      <c r="H15" t="str">
        <v>...</v>
      </c>
      <c r="I15" t="str">
        <v>...</v>
      </c>
      <c r="J15" t="str">
        <v>...</v>
      </c>
    </row>
    <row r="16" spans="1:10" x14ac:dyDescent="0.85">
      <c r="A16">
        <v>393</v>
      </c>
      <c r="B16">
        <v>27</v>
      </c>
      <c r="C16">
        <v>4</v>
      </c>
      <c r="D16">
        <v>140</v>
      </c>
      <c r="E16">
        <v>86</v>
      </c>
      <c r="F16">
        <v>2790</v>
      </c>
      <c r="G16">
        <v>15.6</v>
      </c>
      <c r="H16">
        <v>82</v>
      </c>
      <c r="I16" t="str">
        <v>usa</v>
      </c>
      <c r="J16" t="str">
        <v>ford mustang gl</v>
      </c>
    </row>
    <row r="17" spans="1:10" x14ac:dyDescent="0.85">
      <c r="A17">
        <v>394</v>
      </c>
      <c r="B17">
        <v>44</v>
      </c>
      <c r="C17">
        <v>4</v>
      </c>
      <c r="D17">
        <v>97</v>
      </c>
      <c r="E17">
        <v>52</v>
      </c>
      <c r="F17">
        <v>2130</v>
      </c>
      <c r="G17">
        <v>24.6</v>
      </c>
      <c r="H17">
        <v>82</v>
      </c>
      <c r="I17" t="str">
        <v>europe</v>
      </c>
      <c r="J17" t="str">
        <v>vw pickup</v>
      </c>
    </row>
    <row r="18" spans="1:10" x14ac:dyDescent="0.85">
      <c r="A18">
        <v>395</v>
      </c>
      <c r="B18">
        <v>32</v>
      </c>
      <c r="C18">
        <v>4</v>
      </c>
      <c r="D18">
        <v>135</v>
      </c>
      <c r="E18">
        <v>84</v>
      </c>
      <c r="F18">
        <v>2295</v>
      </c>
      <c r="G18">
        <v>11.6</v>
      </c>
      <c r="H18">
        <v>82</v>
      </c>
      <c r="I18" t="str">
        <v>usa</v>
      </c>
      <c r="J18" t="str">
        <v>dodge rampage</v>
      </c>
    </row>
    <row r="19" spans="1:10" x14ac:dyDescent="0.85">
      <c r="A19">
        <v>396</v>
      </c>
      <c r="B19">
        <v>28</v>
      </c>
      <c r="C19">
        <v>4</v>
      </c>
      <c r="D19">
        <v>120</v>
      </c>
      <c r="E19">
        <v>79</v>
      </c>
      <c r="F19">
        <v>2625</v>
      </c>
      <c r="G19">
        <v>18.600000000000001</v>
      </c>
      <c r="H19">
        <v>82</v>
      </c>
      <c r="I19" t="str">
        <v>usa</v>
      </c>
      <c r="J19" t="str">
        <v>ford ranger</v>
      </c>
    </row>
    <row r="20" spans="1:10" x14ac:dyDescent="0.85">
      <c r="A20">
        <v>397</v>
      </c>
      <c r="B20">
        <v>31</v>
      </c>
      <c r="C20">
        <v>4</v>
      </c>
      <c r="D20">
        <v>119</v>
      </c>
      <c r="E20">
        <v>82</v>
      </c>
      <c r="F20">
        <v>2720</v>
      </c>
      <c r="G20">
        <v>19.399999999999999</v>
      </c>
      <c r="H20">
        <v>82</v>
      </c>
      <c r="I20" t="str">
        <v>usa</v>
      </c>
      <c r="J20" t="str">
        <v>chevy s-10</v>
      </c>
    </row>
    <row r="23" spans="1:10" x14ac:dyDescent="0.85">
      <c r="A23" s="2" t="s">
        <v>321</v>
      </c>
    </row>
    <row r="24" spans="1:10" x14ac:dyDescent="0.85">
      <c r="A24" t="e" cm="1" vm="2">
        <f t="array" ref="A24">_xlfn._xlws.PY(1,1)</f>
        <v>#VALUE!</v>
      </c>
    </row>
    <row r="26" spans="1:10" x14ac:dyDescent="0.85">
      <c r="A26" s="3" t="s">
        <v>320</v>
      </c>
    </row>
    <row r="27" spans="1:10" x14ac:dyDescent="0.85">
      <c r="A27" t="str" cm="1">
        <f t="array" ref="A27:C36">IFERROR(_FV(A24,"arrayPreview"),_xlfn._DF_Python_str(A24))</f>
        <v/>
      </c>
      <c r="B27" t="str">
        <v>missing_values</v>
      </c>
      <c r="C27" t="str">
        <v>data_types</v>
      </c>
    </row>
    <row r="28" spans="1:10" x14ac:dyDescent="0.85">
      <c r="A28" t="str">
        <v>mpg</v>
      </c>
      <c r="B28">
        <v>0</v>
      </c>
      <c r="C28" t="str">
        <v>&lt;Float64DType&gt;</v>
      </c>
    </row>
    <row r="29" spans="1:10" x14ac:dyDescent="0.85">
      <c r="A29" t="str">
        <v>cylinders</v>
      </c>
      <c r="B29">
        <v>0</v>
      </c>
      <c r="C29" t="str">
        <v>&lt;Int64DType&gt;</v>
      </c>
    </row>
    <row r="30" spans="1:10" x14ac:dyDescent="0.85">
      <c r="A30" t="str">
        <v>displacement</v>
      </c>
      <c r="B30">
        <v>0</v>
      </c>
      <c r="C30" t="str">
        <v>&lt;Float64DType&gt;</v>
      </c>
    </row>
    <row r="31" spans="1:10" x14ac:dyDescent="0.85">
      <c r="A31" t="str">
        <v>horsepower</v>
      </c>
      <c r="B31">
        <v>6</v>
      </c>
      <c r="C31" t="str">
        <v>&lt;Float64DType&gt;</v>
      </c>
    </row>
    <row r="32" spans="1:10" x14ac:dyDescent="0.85">
      <c r="A32" t="str">
        <v>weight</v>
      </c>
      <c r="B32">
        <v>0</v>
      </c>
      <c r="C32" t="str">
        <v>&lt;Int64DType&gt;</v>
      </c>
    </row>
    <row r="33" spans="1:9" x14ac:dyDescent="0.85">
      <c r="A33" t="str">
        <v>acceleration</v>
      </c>
      <c r="B33">
        <v>0</v>
      </c>
      <c r="C33" t="str">
        <v>&lt;Float64DType&gt;</v>
      </c>
    </row>
    <row r="34" spans="1:9" x14ac:dyDescent="0.85">
      <c r="A34" t="str">
        <v>model_year</v>
      </c>
      <c r="B34">
        <v>0</v>
      </c>
      <c r="C34" t="str">
        <v>&lt;Int64DType&gt;</v>
      </c>
    </row>
    <row r="35" spans="1:9" x14ac:dyDescent="0.85">
      <c r="A35" t="str">
        <v>origin</v>
      </c>
      <c r="B35">
        <v>0</v>
      </c>
      <c r="C35" t="str">
        <v>&lt;ObjectDType&gt;</v>
      </c>
    </row>
    <row r="36" spans="1:9" x14ac:dyDescent="0.85">
      <c r="A36" t="str">
        <v>name</v>
      </c>
      <c r="B36">
        <v>0</v>
      </c>
      <c r="C36" t="str">
        <v>&lt;ObjectDType&gt;</v>
      </c>
    </row>
    <row r="39" spans="1:9" x14ac:dyDescent="0.85">
      <c r="A39" s="2" t="s">
        <v>322</v>
      </c>
    </row>
    <row r="40" spans="1:9" x14ac:dyDescent="0.85">
      <c r="A40" cm="1" vm="3">
        <f t="array" ref="A40">_xlfn._xlws.PY(2,1)</f>
        <v>0</v>
      </c>
    </row>
    <row r="43" spans="1:9" x14ac:dyDescent="0.85">
      <c r="A43" s="2" t="s">
        <v>323</v>
      </c>
    </row>
    <row r="44" spans="1:9" x14ac:dyDescent="0.85">
      <c r="A44" t="e" cm="1" vm="4">
        <f t="array" ref="A44">_xlfn._xlws.PY(3,1)</f>
        <v>#VALUE!</v>
      </c>
    </row>
    <row r="46" spans="1:9" x14ac:dyDescent="0.85">
      <c r="A46" s="3" t="s">
        <v>320</v>
      </c>
    </row>
    <row r="47" spans="1:9" x14ac:dyDescent="0.85">
      <c r="A47" t="str" cm="1">
        <f t="array" ref="A47:I54">IFERROR(_FV(A44,"arrayPreview"),_xlfn._DF_Python_str(A44))</f>
        <v/>
      </c>
      <c r="B47" t="str">
        <v>count</v>
      </c>
      <c r="C47" t="str">
        <v>mean</v>
      </c>
      <c r="D47" t="str">
        <v>std</v>
      </c>
      <c r="E47" t="str">
        <v>min</v>
      </c>
      <c r="F47" t="str">
        <v>25%</v>
      </c>
      <c r="G47" t="str">
        <v>50%</v>
      </c>
      <c r="H47" t="str">
        <v>75%</v>
      </c>
      <c r="I47" t="str">
        <v>max</v>
      </c>
    </row>
    <row r="48" spans="1:9" x14ac:dyDescent="0.85">
      <c r="A48" t="str">
        <v>mpg</v>
      </c>
      <c r="B48">
        <v>398</v>
      </c>
      <c r="C48">
        <v>23.514572864321607</v>
      </c>
      <c r="D48">
        <v>7.8159843125657824</v>
      </c>
      <c r="E48">
        <v>9</v>
      </c>
      <c r="F48">
        <v>17.5</v>
      </c>
      <c r="G48">
        <v>23</v>
      </c>
      <c r="H48">
        <v>29</v>
      </c>
      <c r="I48">
        <v>46.6</v>
      </c>
    </row>
    <row r="49" spans="1:9" x14ac:dyDescent="0.85">
      <c r="A49" t="str">
        <v>cylinders</v>
      </c>
      <c r="B49">
        <v>398</v>
      </c>
      <c r="C49">
        <v>5.4547738693467336</v>
      </c>
      <c r="D49">
        <v>1.7010042445332094</v>
      </c>
      <c r="E49">
        <v>3</v>
      </c>
      <c r="F49">
        <v>4</v>
      </c>
      <c r="G49">
        <v>4</v>
      </c>
      <c r="H49">
        <v>8</v>
      </c>
      <c r="I49">
        <v>8</v>
      </c>
    </row>
    <row r="50" spans="1:9" x14ac:dyDescent="0.85">
      <c r="A50" t="str">
        <v>displacement</v>
      </c>
      <c r="B50">
        <v>398</v>
      </c>
      <c r="C50">
        <v>193.42587939698493</v>
      </c>
      <c r="D50">
        <v>104.26983817119581</v>
      </c>
      <c r="E50">
        <v>68</v>
      </c>
      <c r="F50">
        <v>104.25</v>
      </c>
      <c r="G50">
        <v>148.5</v>
      </c>
      <c r="H50">
        <v>262</v>
      </c>
      <c r="I50">
        <v>455</v>
      </c>
    </row>
    <row r="51" spans="1:9" x14ac:dyDescent="0.85">
      <c r="A51" t="str">
        <v>horsepower</v>
      </c>
      <c r="B51">
        <v>398</v>
      </c>
      <c r="C51">
        <v>104.30402010050251</v>
      </c>
      <c r="D51">
        <v>38.222624868108682</v>
      </c>
      <c r="E51">
        <v>46</v>
      </c>
      <c r="F51">
        <v>76</v>
      </c>
      <c r="G51">
        <v>93.5</v>
      </c>
      <c r="H51">
        <v>125</v>
      </c>
      <c r="I51">
        <v>230</v>
      </c>
    </row>
    <row r="52" spans="1:9" x14ac:dyDescent="0.85">
      <c r="A52" t="str">
        <v>weight</v>
      </c>
      <c r="B52">
        <v>398</v>
      </c>
      <c r="C52">
        <v>2970.424623115578</v>
      </c>
      <c r="D52">
        <v>846.84177419732714</v>
      </c>
      <c r="E52">
        <v>1613</v>
      </c>
      <c r="F52">
        <v>2223.75</v>
      </c>
      <c r="G52">
        <v>2803.5</v>
      </c>
      <c r="H52">
        <v>3608</v>
      </c>
      <c r="I52">
        <v>5140</v>
      </c>
    </row>
    <row r="53" spans="1:9" x14ac:dyDescent="0.85">
      <c r="A53" t="str">
        <v>acceleration</v>
      </c>
      <c r="B53">
        <v>398</v>
      </c>
      <c r="C53">
        <v>15.568090452261307</v>
      </c>
      <c r="D53">
        <v>2.7576889298126757</v>
      </c>
      <c r="E53">
        <v>8</v>
      </c>
      <c r="F53">
        <v>13.825000000000001</v>
      </c>
      <c r="G53">
        <v>15.5</v>
      </c>
      <c r="H53">
        <v>17.175000000000001</v>
      </c>
      <c r="I53">
        <v>24.8</v>
      </c>
    </row>
    <row r="54" spans="1:9" x14ac:dyDescent="0.85">
      <c r="A54" t="str">
        <v>model_year</v>
      </c>
      <c r="B54">
        <v>398</v>
      </c>
      <c r="C54">
        <v>76.010050251256288</v>
      </c>
      <c r="D54">
        <v>3.6976266467326231</v>
      </c>
      <c r="E54">
        <v>70</v>
      </c>
      <c r="F54">
        <v>73</v>
      </c>
      <c r="G54">
        <v>76</v>
      </c>
      <c r="H54">
        <v>79</v>
      </c>
      <c r="I54">
        <v>82</v>
      </c>
    </row>
    <row r="57" spans="1:9" x14ac:dyDescent="0.85">
      <c r="A57" s="2" t="s">
        <v>324</v>
      </c>
    </row>
    <row r="58" spans="1:9" x14ac:dyDescent="0.85">
      <c r="A58" t="e" cm="1" vm="5">
        <f t="array" ref="A58">_xlfn._xlws.PY(4,1)</f>
        <v>#VALUE!</v>
      </c>
    </row>
    <row r="77" spans="1:1" x14ac:dyDescent="0.85">
      <c r="A77" s="2" t="s">
        <v>325</v>
      </c>
    </row>
    <row r="78" spans="1:1" x14ac:dyDescent="0.85">
      <c r="A78" t="e" cm="1" vm="6">
        <f t="array" ref="A78">_xlfn._xlws.PY(5,1)</f>
        <v>#VALUE!</v>
      </c>
    </row>
    <row r="80" spans="1:1" x14ac:dyDescent="0.85">
      <c r="A80" s="3" t="s">
        <v>320</v>
      </c>
    </row>
    <row r="81" spans="1:8" x14ac:dyDescent="0.85">
      <c r="A81" t="str" cm="1">
        <f t="array" ref="A81:H88">IFERROR(_FV(A78,"arrayPreview"),_xlfn._DF_Python_str(A78))</f>
        <v/>
      </c>
      <c r="B81" t="str">
        <v>mpg</v>
      </c>
      <c r="C81" t="str">
        <v>cylinders</v>
      </c>
      <c r="D81" t="str">
        <v>displacement</v>
      </c>
      <c r="E81" t="str">
        <v>horsepower</v>
      </c>
      <c r="F81" t="str">
        <v>weight</v>
      </c>
      <c r="G81" t="str">
        <v>acceleration</v>
      </c>
      <c r="H81" t="str">
        <v>model_year</v>
      </c>
    </row>
    <row r="82" spans="1:8" x14ac:dyDescent="0.85">
      <c r="A82" t="str">
        <v>mpg</v>
      </c>
      <c r="B82">
        <v>1</v>
      </c>
      <c r="C82">
        <v>-0.77539628542055394</v>
      </c>
      <c r="D82">
        <v>-0.80420282480589789</v>
      </c>
      <c r="E82">
        <v>-0.7734532045742144</v>
      </c>
      <c r="F82">
        <v>-0.8317409332443344</v>
      </c>
      <c r="G82">
        <v>0.42028891210165054</v>
      </c>
      <c r="H82">
        <v>0.57926713308330924</v>
      </c>
    </row>
    <row r="83" spans="1:8" x14ac:dyDescent="0.85">
      <c r="A83" t="str">
        <v>cylinders</v>
      </c>
      <c r="B83">
        <v>-0.77539628542055394</v>
      </c>
      <c r="C83">
        <v>1</v>
      </c>
      <c r="D83">
        <v>0.95072139013924151</v>
      </c>
      <c r="E83">
        <v>0.84128446376210164</v>
      </c>
      <c r="F83">
        <v>0.89601679545339441</v>
      </c>
      <c r="G83">
        <v>-0.50541948905217582</v>
      </c>
      <c r="H83">
        <v>-0.34874579661359445</v>
      </c>
    </row>
    <row r="84" spans="1:8" x14ac:dyDescent="0.85">
      <c r="A84" t="str">
        <v>displacement</v>
      </c>
      <c r="B84">
        <v>-0.80420282480589789</v>
      </c>
      <c r="C84">
        <v>0.95072139013924151</v>
      </c>
      <c r="D84">
        <v>1</v>
      </c>
      <c r="E84">
        <v>0.8957782012539004</v>
      </c>
      <c r="F84">
        <v>0.93282414684163395</v>
      </c>
      <c r="G84">
        <v>-0.54368408350092989</v>
      </c>
      <c r="H84">
        <v>-0.37016416107932471</v>
      </c>
    </row>
    <row r="85" spans="1:8" x14ac:dyDescent="0.85">
      <c r="A85" t="str">
        <v>horsepower</v>
      </c>
      <c r="B85">
        <v>-0.7734532045742144</v>
      </c>
      <c r="C85">
        <v>0.84128446376210164</v>
      </c>
      <c r="D85">
        <v>0.8957782012539004</v>
      </c>
      <c r="E85">
        <v>1</v>
      </c>
      <c r="F85">
        <v>0.86244236099156213</v>
      </c>
      <c r="G85">
        <v>-0.68658973730477091</v>
      </c>
      <c r="H85">
        <v>-0.41373279760678372</v>
      </c>
    </row>
    <row r="86" spans="1:8" x14ac:dyDescent="0.85">
      <c r="A86" t="str">
        <v>weight</v>
      </c>
      <c r="B86">
        <v>-0.8317409332443344</v>
      </c>
      <c r="C86">
        <v>0.89601679545339441</v>
      </c>
      <c r="D86">
        <v>0.93282414684163395</v>
      </c>
      <c r="E86">
        <v>0.86244236099156213</v>
      </c>
      <c r="F86">
        <v>1</v>
      </c>
      <c r="G86">
        <v>-0.4174573199403932</v>
      </c>
      <c r="H86">
        <v>-0.30656433428328922</v>
      </c>
    </row>
    <row r="87" spans="1:8" x14ac:dyDescent="0.85">
      <c r="A87" t="str">
        <v>acceleration</v>
      </c>
      <c r="B87">
        <v>0.42028891210165054</v>
      </c>
      <c r="C87">
        <v>-0.50541948905217582</v>
      </c>
      <c r="D87">
        <v>-0.54368408350092989</v>
      </c>
      <c r="E87">
        <v>-0.68658973730477091</v>
      </c>
      <c r="F87">
        <v>-0.4174573199403932</v>
      </c>
      <c r="G87">
        <v>1</v>
      </c>
      <c r="H87">
        <v>0.28813695429949115</v>
      </c>
    </row>
    <row r="88" spans="1:8" x14ac:dyDescent="0.85">
      <c r="A88" t="str">
        <v>model_year</v>
      </c>
      <c r="B88">
        <v>0.57926713308330924</v>
      </c>
      <c r="C88">
        <v>-0.34874579661359445</v>
      </c>
      <c r="D88">
        <v>-0.37016416107932471</v>
      </c>
      <c r="E88">
        <v>-0.41373279760678372</v>
      </c>
      <c r="F88">
        <v>-0.30656433428328922</v>
      </c>
      <c r="G88">
        <v>0.28813695429949115</v>
      </c>
      <c r="H88">
        <v>1</v>
      </c>
    </row>
    <row r="91" spans="1:8" x14ac:dyDescent="0.85">
      <c r="A91" s="2" t="s">
        <v>326</v>
      </c>
    </row>
    <row r="92" spans="1:8" x14ac:dyDescent="0.85">
      <c r="A92" t="e" cm="1" vm="7">
        <f t="array" ref="A92">_xlfn._xlws.PY(6,1)</f>
        <v>#VALUE!</v>
      </c>
    </row>
    <row r="94" spans="1:8" x14ac:dyDescent="0.85">
      <c r="A94" s="3" t="s">
        <v>320</v>
      </c>
    </row>
    <row r="95" spans="1:8" x14ac:dyDescent="0.85">
      <c r="A95" t="str" cm="1">
        <f t="array" ref="A95:B101">IFERROR(_FV(A92,"arrayPreview"),_xlfn._DF_Python_str(A92))</f>
        <v>horsepower</v>
      </c>
      <c r="B95">
        <v>1.1062242930872614</v>
      </c>
    </row>
    <row r="96" spans="1:8" x14ac:dyDescent="0.85">
      <c r="A96" t="str">
        <v>displacement</v>
      </c>
      <c r="B96">
        <v>0.71964516430059522</v>
      </c>
    </row>
    <row r="97" spans="1:3" x14ac:dyDescent="0.85">
      <c r="A97" t="str">
        <v>weight</v>
      </c>
      <c r="B97">
        <v>0.53106251259946291</v>
      </c>
    </row>
    <row r="98" spans="1:3" x14ac:dyDescent="0.85">
      <c r="A98" t="str">
        <v>cylinders</v>
      </c>
      <c r="B98">
        <v>0.52692154535289393</v>
      </c>
    </row>
    <row r="99" spans="1:3" x14ac:dyDescent="0.85">
      <c r="A99" t="str">
        <v>mpg</v>
      </c>
      <c r="B99">
        <v>0.45706634399491913</v>
      </c>
    </row>
    <row r="100" spans="1:3" x14ac:dyDescent="0.85">
      <c r="A100" t="str">
        <v>acceleration</v>
      </c>
      <c r="B100">
        <v>0.27877684462588986</v>
      </c>
    </row>
    <row r="101" spans="1:3" x14ac:dyDescent="0.85">
      <c r="A101" t="str">
        <v>model_year</v>
      </c>
      <c r="B101">
        <v>1.153459401509278E-2</v>
      </c>
    </row>
    <row r="104" spans="1:3" x14ac:dyDescent="0.85">
      <c r="A104" s="2" t="s">
        <v>328</v>
      </c>
    </row>
    <row r="105" spans="1:3" x14ac:dyDescent="0.85">
      <c r="A105" t="e" cm="1" vm="8">
        <f t="array" ref="A105">_xlfn._xlws.PY(7,1)</f>
        <v>#VALUE!</v>
      </c>
    </row>
    <row r="108" spans="1:3" x14ac:dyDescent="0.85">
      <c r="A108" s="2" t="s">
        <v>327</v>
      </c>
    </row>
    <row r="109" spans="1:3" x14ac:dyDescent="0.85">
      <c r="A109" t="e" cm="1" vm="9">
        <f t="array" ref="A109">_xlfn._xlws.PY(8,1)</f>
        <v>#VALUE!</v>
      </c>
    </row>
    <row r="111" spans="1:3" x14ac:dyDescent="0.85">
      <c r="A111" s="3" t="s">
        <v>320</v>
      </c>
    </row>
    <row r="112" spans="1:3" x14ac:dyDescent="0.85">
      <c r="A112" t="str" cm="1">
        <f t="array" ref="A112:C113">IFERROR(_FV(A109,"arrayPreview"),_xlfn._DF_Python_str(A109))</f>
        <v/>
      </c>
      <c r="B112" t="str">
        <v>R2</v>
      </c>
      <c r="C112" t="str">
        <v>RMSE</v>
      </c>
    </row>
    <row r="113" spans="1:3" x14ac:dyDescent="0.85">
      <c r="A113">
        <v>0</v>
      </c>
      <c r="B113">
        <v>0.84490963327620827</v>
      </c>
      <c r="C113">
        <v>2.8876733677169271</v>
      </c>
    </row>
    <row r="116" spans="1:3" x14ac:dyDescent="0.85">
      <c r="A116" s="2" t="s">
        <v>329</v>
      </c>
    </row>
    <row r="117" spans="1:3" x14ac:dyDescent="0.85">
      <c r="A117" t="e" cm="1" vm="10">
        <f t="array" ref="A117">_xlfn._xlws.PY(9,1)</f>
        <v>#VALUE!</v>
      </c>
    </row>
    <row r="119" spans="1:3" x14ac:dyDescent="0.85">
      <c r="A119" s="3" t="s">
        <v>320</v>
      </c>
    </row>
    <row r="120" spans="1:3" x14ac:dyDescent="0.85">
      <c r="A120" t="str" cm="1">
        <f t="array" ref="A120:C128">IFERROR(_FV(A117,"arrayPreview"),_xlfn._DF_Python_str(A117))</f>
        <v/>
      </c>
      <c r="B120" t="str">
        <v>Feature</v>
      </c>
      <c r="C120" t="str">
        <v>Coefficient</v>
      </c>
    </row>
    <row r="121" spans="1:3" x14ac:dyDescent="0.85">
      <c r="A121">
        <v>5</v>
      </c>
      <c r="B121" t="str">
        <v>model_year</v>
      </c>
      <c r="C121">
        <v>0.82596927182081692</v>
      </c>
    </row>
    <row r="122" spans="1:3" x14ac:dyDescent="0.85">
      <c r="A122">
        <v>4</v>
      </c>
      <c r="B122" t="str">
        <v>acceleration</v>
      </c>
      <c r="C122">
        <v>6.7966521788843048E-2</v>
      </c>
    </row>
    <row r="123" spans="1:3" x14ac:dyDescent="0.85">
      <c r="A123">
        <v>1</v>
      </c>
      <c r="B123" t="str">
        <v>displacement</v>
      </c>
      <c r="C123">
        <v>1.9775710196321711E-2</v>
      </c>
    </row>
    <row r="124" spans="1:3" x14ac:dyDescent="0.85">
      <c r="A124">
        <v>3</v>
      </c>
      <c r="B124" t="str">
        <v>weight</v>
      </c>
      <c r="C124">
        <v>-7.0472665080488443E-3</v>
      </c>
    </row>
    <row r="125" spans="1:3" x14ac:dyDescent="0.85">
      <c r="A125">
        <v>2</v>
      </c>
      <c r="B125" t="str">
        <v>horsepower</v>
      </c>
      <c r="C125">
        <v>-1.4561875499478419E-2</v>
      </c>
    </row>
    <row r="126" spans="1:3" x14ac:dyDescent="0.85">
      <c r="A126">
        <v>0</v>
      </c>
      <c r="B126" t="str">
        <v>cylinders</v>
      </c>
      <c r="C126">
        <v>-0.1656637759888904</v>
      </c>
    </row>
    <row r="127" spans="1:3" x14ac:dyDescent="0.85">
      <c r="A127">
        <v>6</v>
      </c>
      <c r="B127" t="str">
        <v>origin_japan</v>
      </c>
      <c r="C127">
        <v>-0.27578067033266168</v>
      </c>
    </row>
    <row r="128" spans="1:3" x14ac:dyDescent="0.85">
      <c r="A128">
        <v>7</v>
      </c>
      <c r="B128" t="str">
        <v>origin_usa</v>
      </c>
      <c r="C128">
        <v>-2.9469066693935657</v>
      </c>
    </row>
  </sheetData>
  <pageMargins left="0.7" right="0.7" top="0.75" bottom="0.75" header="0.3" footer="0.3"/>
  <customProperties>
    <customPr name="isPythonAnalysisSheet" r:id="rId1"/>
    <customPr name="lastPythonCell" r:id="rId2"/>
  </customProperties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55C647833039340B4008C94FEE86291" ma:contentTypeVersion="18" ma:contentTypeDescription="Create a new document." ma:contentTypeScope="" ma:versionID="d66ed84012b24a4c1ddb205c71c241b9">
  <xsd:schema xmlns:xsd="http://www.w3.org/2001/XMLSchema" xmlns:xs="http://www.w3.org/2001/XMLSchema" xmlns:p="http://schemas.microsoft.com/office/2006/metadata/properties" xmlns:ns3="37e3aeb7-4d0f-4a33-8841-3d6184eb8527" xmlns:ns4="61b8e4de-3d2d-450c-a930-5dd93a52fde9" targetNamespace="http://schemas.microsoft.com/office/2006/metadata/properties" ma:root="true" ma:fieldsID="451740186a4cde1b8a6c444f751beb1b" ns3:_="" ns4:_="">
    <xsd:import namespace="37e3aeb7-4d0f-4a33-8841-3d6184eb8527"/>
    <xsd:import namespace="61b8e4de-3d2d-450c-a930-5dd93a52fde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e3aeb7-4d0f-4a33-8841-3d6184eb85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b8e4de-3d2d-450c-a930-5dd93a52fde9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7e3aeb7-4d0f-4a33-8841-3d6184eb8527" xsi:nil="true"/>
  </documentManagement>
</p:properties>
</file>

<file path=customXml/itemProps1.xml><?xml version="1.0" encoding="utf-8"?>
<ds:datastoreItem xmlns:ds="http://schemas.openxmlformats.org/officeDocument/2006/customXml" ds:itemID="{9B2F2E91-4D43-4258-B561-CD3553288B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e3aeb7-4d0f-4a33-8841-3d6184eb8527"/>
    <ds:schemaRef ds:uri="61b8e4de-3d2d-450c-a930-5dd93a52fd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7994C-05CF-44D9-9CC3-522CCFB6C57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F8E99D-5F8A-491F-B0EE-854194F77762}">
  <ds:schemaRefs>
    <ds:schemaRef ds:uri="37e3aeb7-4d0f-4a33-8841-3d6184eb8527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61b8e4de-3d2d-450c-a930-5dd93a52fde9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mpg</vt:lpstr>
      <vt:lpstr>Analysis1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2025-11-23T22:23:20Z</dcterms:created>
  <dcterms:modified xsi:type="dcterms:W3CDTF">2025-11-23T22:39:11Z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0x010100255C647833039340B4008C94FEE86291</vt:lpwstr>
  </property>
</Properties>
</file>
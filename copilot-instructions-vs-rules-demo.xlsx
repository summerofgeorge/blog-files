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" sheetId="2" state="visible" r:id="rId4"/>
    <sheet name="Forecast" sheetId="3" state="visible" r:id="rId5"/>
    <sheet name="Dashboard" sheetId="4" state="visible" r:id="rId6"/>
    <sheet name=".Ru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<sst xmlns="http://schemas.openxmlformats.org/spreadsheetml/2006/main" count="184" uniqueCount="50">
  <si>
    <t xml:space="preserve">Monthly Sales Tracker: Copilot in Excel rules demo</t>
  </si>
  <si>
    <t xml:space="preserve">Companion workbook for the Stringfest Analytics post on Copilot in Excel</t>
  </si>
  <si>
    <t xml:space="preserve">custom instructions (personalization) vs. the .Rules worksheet.</t>
  </si>
  <si>
    <t xml:space="preserve">How to explore this workbook:</t>
  </si>
  <si>
    <t xml:space="preserve">1. Open the .Rules tab to see workbook-level instructions Copilot follows.</t>
  </si>
  <si>
    <t xml:space="preserve">2. Cells to play with are highlighted yellow:</t>
  </si>
  <si>
    <t xml:space="preserve">     - .Rules!B11: audience dropdown (Executive / Analyst) that switches a rule.</t>
  </si>
  <si>
    <t xml:space="preserve">     - Forecast tab: add forecast rows and the second formula rule flips.</t>
  </si>
  <si>
    <t xml:space="preserve">3. Open Copilot and prompt: 'Summarize June performance by region.'</t>
  </si>
  <si>
    <t xml:space="preserve">     Results should follow the rules automatically.</t>
  </si>
  <si>
    <t xml:space="preserve">4. The Data tab is source data. Per the rules, treat it as read-only.</t>
  </si>
  <si>
    <t xml:space="preserve">Requirements: Copilot in Excel reads rules from column A of a visible</t>
  </si>
  <si>
    <t xml:space="preserve">worksheet named .Rules. If you hide or rename that sheet, rules stop applying.</t>
  </si>
  <si>
    <t xml:space="preserve">All company data is fictional and generated for demonstration purposes.</t>
  </si>
  <si>
    <t xml:space="preserve">stringfestanalytics.com</t>
  </si>
  <si>
    <t xml:space="preserve">Date</t>
  </si>
  <si>
    <t xml:space="preserve">Region</t>
  </si>
  <si>
    <t xml:space="preserve">Product</t>
  </si>
  <si>
    <t xml:space="preserve">Units</t>
  </si>
  <si>
    <t xml:space="preserve">Revenue</t>
  </si>
  <si>
    <t xml:space="preserve">COGS</t>
  </si>
  <si>
    <t xml:space="preserve">Midwest</t>
  </si>
  <si>
    <t xml:space="preserve">Single Origin Ethiopia</t>
  </si>
  <si>
    <t xml:space="preserve">Espresso Blend</t>
  </si>
  <si>
    <t xml:space="preserve">Northeast</t>
  </si>
  <si>
    <t xml:space="preserve">Decaf House</t>
  </si>
  <si>
    <t xml:space="preserve">Cold Brew Concentrate</t>
  </si>
  <si>
    <t xml:space="preserve">West</t>
  </si>
  <si>
    <t xml:space="preserve">Southeast</t>
  </si>
  <si>
    <t xml:space="preserve">Seasonal Roast</t>
  </si>
  <si>
    <t xml:space="preserve">Forecast Units (July)</t>
  </si>
  <si>
    <t xml:space="preserve">Forecast Revenue (July)</t>
  </si>
  <si>
    <t xml:space="preserve">This tab is intentionally empty. Add forecast rows here and the</t>
  </si>
  <si>
    <t xml:space="preserve">second formula-driven rule on the .Rules tab flips automatically.</t>
  </si>
  <si>
    <t xml:space="preserve">Gross Margin by Product: June 2026 (FY26)</t>
  </si>
  <si>
    <t xml:space="preserve">Gross Margin %</t>
  </si>
  <si>
    <t xml:space="preserve">Total</t>
  </si>
  <si>
    <t xml:space="preserve">Gross margin = (Revenue - COGS) / Revenue, per the .Rules tab. Data source: Data tab (fictional).</t>
  </si>
  <si>
    <t xml:space="preserve">## DATA</t>
  </si>
  <si>
    <t xml:space="preserve">Never edit the Data tab directly. Treat it as read-only source data.</t>
  </si>
  <si>
    <t xml:space="preserve">Fiscal year runs July through June. "FY26" means July 2025 through June 2026.</t>
  </si>
  <si>
    <t xml:space="preserve">## CALCULATIONS</t>
  </si>
  <si>
    <t xml:space="preserve">Gross margin = (Revenue - COGS) / Revenue, calculated at the product level.</t>
  </si>
  <si>
    <t xml:space="preserve">Round margin percentages to one decimal place.</t>
  </si>
  <si>
    <t xml:space="preserve">## OUTPUT</t>
  </si>
  <si>
    <t xml:space="preserve">Put executive summaries on the Dashboard tab.</t>
  </si>
  <si>
    <t xml:space="preserve">Analyst</t>
  </si>
  <si>
    <t xml:space="preserve">&lt;- Audience dropdown: switch to Executive and this rule changes</t>
  </si>
  <si>
    <t xml:space="preserve">&lt;- Flips automatically once the Forecast tab has data</t>
  </si>
  <si>
    <t xml:space="preserve">Rules must stay in column A, and this sheet must stay visible and named .Rules.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</si>
</sst>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\$#,##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F3338"/>
      <name val="Arial"/>
      <family val="0"/>
      <charset val="1"/>
    </font>
    <font>
      <sz val="10"/>
      <color rgb="FF70707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F333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120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7070"/>
      <rgbColor rgb="FF9999FF"/>
      <rgbColor rgb="FFCF333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1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F3338"/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6" min="5" style="0" width="11"/>
  </cols>
  <sheetData>
    <row r="1" customFormat="false" ht="15" hidden="false" customHeight="fals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</row>
    <row r="2" customFormat="false" ht="15" hidden="false" customHeight="false" outlineLevel="0" collapsed="false">
      <c r="A2" s="6" t="n">
        <v>46174</v>
      </c>
      <c r="B2" s="7" t="s">
        <v>21</v>
      </c>
      <c r="C2" s="7" t="s">
        <v>22</v>
      </c>
      <c r="D2" s="8" t="n">
        <v>174</v>
      </c>
      <c r="E2" s="9" t="n">
        <v>5220</v>
      </c>
      <c r="F2" s="9" t="n">
        <v>2377</v>
      </c>
    </row>
    <row r="3" customFormat="false" ht="15" hidden="false" customHeight="false" outlineLevel="0" collapsed="false">
      <c r="A3" s="6" t="n">
        <v>46174</v>
      </c>
      <c r="B3" s="7" t="s">
        <v>21</v>
      </c>
      <c r="C3" s="7" t="s">
        <v>23</v>
      </c>
      <c r="D3" s="8" t="n">
        <v>112</v>
      </c>
      <c r="E3" s="9" t="n">
        <v>1680</v>
      </c>
      <c r="F3" s="9" t="n">
        <v>864</v>
      </c>
    </row>
    <row r="4" customFormat="false" ht="15" hidden="false" customHeight="false" outlineLevel="0" collapsed="false">
      <c r="A4" s="6" t="n">
        <v>46174</v>
      </c>
      <c r="B4" s="7" t="s">
        <v>24</v>
      </c>
      <c r="C4" s="7" t="s">
        <v>22</v>
      </c>
      <c r="D4" s="8" t="n">
        <v>516</v>
      </c>
      <c r="E4" s="9" t="n">
        <v>15480</v>
      </c>
      <c r="F4" s="9" t="n">
        <v>7740</v>
      </c>
    </row>
    <row r="5" customFormat="false" ht="15" hidden="false" customHeight="false" outlineLevel="0" collapsed="false">
      <c r="A5" s="6" t="n">
        <v>46174</v>
      </c>
      <c r="B5" s="7" t="s">
        <v>24</v>
      </c>
      <c r="C5" s="7" t="s">
        <v>25</v>
      </c>
      <c r="D5" s="8" t="n">
        <v>362</v>
      </c>
      <c r="E5" s="9" t="n">
        <v>5068</v>
      </c>
      <c r="F5" s="9" t="n">
        <v>2465</v>
      </c>
    </row>
    <row r="6" customFormat="false" ht="15" hidden="false" customHeight="false" outlineLevel="0" collapsed="false">
      <c r="A6" s="6" t="n">
        <v>46175</v>
      </c>
      <c r="B6" s="7" t="s">
        <v>21</v>
      </c>
      <c r="C6" s="7" t="s">
        <v>25</v>
      </c>
      <c r="D6" s="8" t="n">
        <v>179</v>
      </c>
      <c r="E6" s="9" t="n">
        <v>2506</v>
      </c>
      <c r="F6" s="9" t="n">
        <v>1242</v>
      </c>
    </row>
    <row r="7" customFormat="false" ht="15" hidden="false" customHeight="false" outlineLevel="0" collapsed="false">
      <c r="A7" s="6" t="n">
        <v>46175</v>
      </c>
      <c r="B7" s="7" t="s">
        <v>24</v>
      </c>
      <c r="C7" s="7" t="s">
        <v>26</v>
      </c>
      <c r="D7" s="8" t="n">
        <v>73</v>
      </c>
      <c r="E7" s="9" t="n">
        <v>1241</v>
      </c>
      <c r="F7" s="9" t="n">
        <v>623</v>
      </c>
    </row>
    <row r="8" customFormat="false" ht="15" hidden="false" customHeight="false" outlineLevel="0" collapsed="false">
      <c r="A8" s="6" t="n">
        <v>46176</v>
      </c>
      <c r="B8" s="7" t="s">
        <v>27</v>
      </c>
      <c r="C8" s="7" t="s">
        <v>25</v>
      </c>
      <c r="D8" s="8" t="n">
        <v>361</v>
      </c>
      <c r="E8" s="9" t="n">
        <v>5054</v>
      </c>
      <c r="F8" s="9" t="n">
        <v>2378</v>
      </c>
    </row>
    <row r="9" customFormat="false" ht="15" hidden="false" customHeight="false" outlineLevel="0" collapsed="false">
      <c r="A9" s="6" t="n">
        <v>46176</v>
      </c>
      <c r="B9" s="7" t="s">
        <v>28</v>
      </c>
      <c r="C9" s="7" t="s">
        <v>22</v>
      </c>
      <c r="D9" s="8" t="n">
        <v>505</v>
      </c>
      <c r="E9" s="9" t="n">
        <v>15150</v>
      </c>
      <c r="F9" s="9" t="n">
        <v>6677</v>
      </c>
    </row>
    <row r="10" customFormat="false" ht="15" hidden="false" customHeight="false" outlineLevel="0" collapsed="false">
      <c r="A10" s="6" t="n">
        <v>46176</v>
      </c>
      <c r="B10" s="7" t="s">
        <v>24</v>
      </c>
      <c r="C10" s="7" t="s">
        <v>25</v>
      </c>
      <c r="D10" s="8" t="n">
        <v>472</v>
      </c>
      <c r="E10" s="9" t="n">
        <v>6608</v>
      </c>
      <c r="F10" s="9" t="n">
        <v>3024</v>
      </c>
    </row>
    <row r="11" customFormat="false" ht="15" hidden="false" customHeight="false" outlineLevel="0" collapsed="false">
      <c r="A11" s="6" t="n">
        <v>46176</v>
      </c>
      <c r="B11" s="7" t="s">
        <v>28</v>
      </c>
      <c r="C11" s="7" t="s">
        <v>29</v>
      </c>
      <c r="D11" s="8" t="n">
        <v>276</v>
      </c>
      <c r="E11" s="9" t="n">
        <v>4968</v>
      </c>
      <c r="F11" s="9" t="n">
        <v>2372</v>
      </c>
    </row>
    <row r="12" customFormat="false" ht="15" hidden="false" customHeight="false" outlineLevel="0" collapsed="false">
      <c r="A12" s="6" t="n">
        <v>46177</v>
      </c>
      <c r="B12" s="7" t="s">
        <v>24</v>
      </c>
      <c r="C12" s="7" t="s">
        <v>26</v>
      </c>
      <c r="D12" s="8" t="n">
        <v>112</v>
      </c>
      <c r="E12" s="9" t="n">
        <v>1904</v>
      </c>
      <c r="F12" s="9" t="n">
        <v>857</v>
      </c>
    </row>
    <row r="13" customFormat="false" ht="15" hidden="false" customHeight="false" outlineLevel="0" collapsed="false">
      <c r="A13" s="6" t="n">
        <v>46177</v>
      </c>
      <c r="B13" s="7" t="s">
        <v>28</v>
      </c>
      <c r="C13" s="7" t="s">
        <v>23</v>
      </c>
      <c r="D13" s="8" t="n">
        <v>109</v>
      </c>
      <c r="E13" s="9" t="n">
        <v>1635</v>
      </c>
      <c r="F13" s="9" t="n">
        <v>784</v>
      </c>
    </row>
    <row r="14" customFormat="false" ht="15" hidden="false" customHeight="false" outlineLevel="0" collapsed="false">
      <c r="A14" s="6" t="n">
        <v>46178</v>
      </c>
      <c r="B14" s="7" t="s">
        <v>27</v>
      </c>
      <c r="C14" s="7" t="s">
        <v>29</v>
      </c>
      <c r="D14" s="8" t="n">
        <v>433</v>
      </c>
      <c r="E14" s="9" t="n">
        <v>7794</v>
      </c>
      <c r="F14" s="9" t="n">
        <v>3823</v>
      </c>
    </row>
    <row r="15" customFormat="false" ht="15" hidden="false" customHeight="false" outlineLevel="0" collapsed="false">
      <c r="A15" s="6" t="n">
        <v>46178</v>
      </c>
      <c r="B15" s="7" t="s">
        <v>24</v>
      </c>
      <c r="C15" s="7" t="s">
        <v>22</v>
      </c>
      <c r="D15" s="8" t="n">
        <v>123</v>
      </c>
      <c r="E15" s="9" t="n">
        <v>3690</v>
      </c>
      <c r="F15" s="9" t="n">
        <v>2019</v>
      </c>
    </row>
    <row r="16" customFormat="false" ht="15" hidden="false" customHeight="false" outlineLevel="0" collapsed="false">
      <c r="A16" s="6" t="n">
        <v>46178</v>
      </c>
      <c r="B16" s="7" t="s">
        <v>21</v>
      </c>
      <c r="C16" s="7" t="s">
        <v>26</v>
      </c>
      <c r="D16" s="8" t="n">
        <v>253</v>
      </c>
      <c r="E16" s="9" t="n">
        <v>4301</v>
      </c>
      <c r="F16" s="9" t="n">
        <v>1930</v>
      </c>
    </row>
    <row r="17" customFormat="false" ht="15" hidden="false" customHeight="false" outlineLevel="0" collapsed="false">
      <c r="A17" s="6" t="n">
        <v>46181</v>
      </c>
      <c r="B17" s="7" t="s">
        <v>27</v>
      </c>
      <c r="C17" s="7" t="s">
        <v>29</v>
      </c>
      <c r="D17" s="8" t="n">
        <v>420</v>
      </c>
      <c r="E17" s="9" t="n">
        <v>7560</v>
      </c>
      <c r="F17" s="9" t="n">
        <v>3384</v>
      </c>
    </row>
    <row r="18" customFormat="false" ht="15" hidden="false" customHeight="false" outlineLevel="0" collapsed="false">
      <c r="A18" s="6" t="n">
        <v>46181</v>
      </c>
      <c r="B18" s="7" t="s">
        <v>28</v>
      </c>
      <c r="C18" s="7" t="s">
        <v>26</v>
      </c>
      <c r="D18" s="8" t="n">
        <v>398</v>
      </c>
      <c r="E18" s="9" t="n">
        <v>6766</v>
      </c>
      <c r="F18" s="9" t="n">
        <v>3147</v>
      </c>
    </row>
    <row r="19" customFormat="false" ht="15" hidden="false" customHeight="false" outlineLevel="0" collapsed="false">
      <c r="A19" s="6" t="n">
        <v>46181</v>
      </c>
      <c r="B19" s="7" t="s">
        <v>24</v>
      </c>
      <c r="C19" s="7" t="s">
        <v>26</v>
      </c>
      <c r="D19" s="8" t="n">
        <v>208</v>
      </c>
      <c r="E19" s="9" t="n">
        <v>3536</v>
      </c>
      <c r="F19" s="9" t="n">
        <v>1939</v>
      </c>
    </row>
    <row r="20" customFormat="false" ht="15" hidden="false" customHeight="false" outlineLevel="0" collapsed="false">
      <c r="A20" s="6" t="n">
        <v>46182</v>
      </c>
      <c r="B20" s="7" t="s">
        <v>21</v>
      </c>
      <c r="C20" s="7" t="s">
        <v>22</v>
      </c>
      <c r="D20" s="8" t="n">
        <v>202</v>
      </c>
      <c r="E20" s="9" t="n">
        <v>6060</v>
      </c>
      <c r="F20" s="9" t="n">
        <v>2969</v>
      </c>
    </row>
    <row r="21" customFormat="false" ht="15" hidden="false" customHeight="false" outlineLevel="0" collapsed="false">
      <c r="A21" s="6" t="n">
        <v>46182</v>
      </c>
      <c r="B21" s="7" t="s">
        <v>28</v>
      </c>
      <c r="C21" s="7" t="s">
        <v>25</v>
      </c>
      <c r="D21" s="8" t="n">
        <v>487</v>
      </c>
      <c r="E21" s="9" t="n">
        <v>6818</v>
      </c>
      <c r="F21" s="9" t="n">
        <v>3274</v>
      </c>
    </row>
    <row r="22" customFormat="false" ht="15" hidden="false" customHeight="false" outlineLevel="0" collapsed="false">
      <c r="A22" s="6" t="n">
        <v>46183</v>
      </c>
      <c r="B22" s="7" t="s">
        <v>28</v>
      </c>
      <c r="C22" s="7" t="s">
        <v>26</v>
      </c>
      <c r="D22" s="8" t="n">
        <v>419</v>
      </c>
      <c r="E22" s="9" t="n">
        <v>7123</v>
      </c>
      <c r="F22" s="9" t="n">
        <v>3868</v>
      </c>
    </row>
    <row r="23" customFormat="false" ht="15" hidden="false" customHeight="false" outlineLevel="0" collapsed="false">
      <c r="A23" s="6" t="n">
        <v>46183</v>
      </c>
      <c r="B23" s="7" t="s">
        <v>24</v>
      </c>
      <c r="C23" s="7" t="s">
        <v>26</v>
      </c>
      <c r="D23" s="8" t="n">
        <v>391</v>
      </c>
      <c r="E23" s="9" t="n">
        <v>6647</v>
      </c>
      <c r="F23" s="9" t="n">
        <v>2977</v>
      </c>
    </row>
    <row r="24" customFormat="false" ht="15" hidden="false" customHeight="false" outlineLevel="0" collapsed="false">
      <c r="A24" s="6" t="n">
        <v>46183</v>
      </c>
      <c r="B24" s="7" t="s">
        <v>24</v>
      </c>
      <c r="C24" s="7" t="s">
        <v>22</v>
      </c>
      <c r="D24" s="8" t="n">
        <v>385</v>
      </c>
      <c r="E24" s="9" t="n">
        <v>11550</v>
      </c>
      <c r="F24" s="9" t="n">
        <v>5299</v>
      </c>
    </row>
    <row r="25" customFormat="false" ht="15" hidden="false" customHeight="false" outlineLevel="0" collapsed="false">
      <c r="A25" s="6" t="n">
        <v>46184</v>
      </c>
      <c r="B25" s="7" t="s">
        <v>24</v>
      </c>
      <c r="C25" s="7" t="s">
        <v>25</v>
      </c>
      <c r="D25" s="8" t="n">
        <v>198</v>
      </c>
      <c r="E25" s="9" t="n">
        <v>2772</v>
      </c>
      <c r="F25" s="9" t="n">
        <v>1521</v>
      </c>
    </row>
    <row r="26" customFormat="false" ht="15" hidden="false" customHeight="false" outlineLevel="0" collapsed="false">
      <c r="A26" s="6" t="n">
        <v>46184</v>
      </c>
      <c r="B26" s="7" t="s">
        <v>24</v>
      </c>
      <c r="C26" s="7" t="s">
        <v>23</v>
      </c>
      <c r="D26" s="8" t="n">
        <v>387</v>
      </c>
      <c r="E26" s="9" t="n">
        <v>5805</v>
      </c>
      <c r="F26" s="9" t="n">
        <v>2994</v>
      </c>
    </row>
    <row r="27" customFormat="false" ht="15" hidden="false" customHeight="false" outlineLevel="0" collapsed="false">
      <c r="A27" s="6" t="n">
        <v>46184</v>
      </c>
      <c r="B27" s="7" t="s">
        <v>28</v>
      </c>
      <c r="C27" s="7" t="s">
        <v>29</v>
      </c>
      <c r="D27" s="8" t="n">
        <v>172</v>
      </c>
      <c r="E27" s="9" t="n">
        <v>3096</v>
      </c>
      <c r="F27" s="9" t="n">
        <v>1595</v>
      </c>
    </row>
    <row r="28" customFormat="false" ht="15" hidden="false" customHeight="false" outlineLevel="0" collapsed="false">
      <c r="A28" s="6" t="n">
        <v>46184</v>
      </c>
      <c r="B28" s="7" t="s">
        <v>28</v>
      </c>
      <c r="C28" s="7" t="s">
        <v>25</v>
      </c>
      <c r="D28" s="8" t="n">
        <v>491</v>
      </c>
      <c r="E28" s="9" t="n">
        <v>6874</v>
      </c>
      <c r="F28" s="9" t="n">
        <v>3606</v>
      </c>
    </row>
    <row r="29" customFormat="false" ht="15" hidden="false" customHeight="false" outlineLevel="0" collapsed="false">
      <c r="A29" s="6" t="n">
        <v>46185</v>
      </c>
      <c r="B29" s="7" t="s">
        <v>24</v>
      </c>
      <c r="C29" s="7" t="s">
        <v>25</v>
      </c>
      <c r="D29" s="8" t="n">
        <v>472</v>
      </c>
      <c r="E29" s="9" t="n">
        <v>6608</v>
      </c>
      <c r="F29" s="9" t="n">
        <v>3137</v>
      </c>
    </row>
    <row r="30" customFormat="false" ht="15" hidden="false" customHeight="false" outlineLevel="0" collapsed="false">
      <c r="A30" s="6" t="n">
        <v>46185</v>
      </c>
      <c r="B30" s="7" t="s">
        <v>21</v>
      </c>
      <c r="C30" s="7" t="s">
        <v>26</v>
      </c>
      <c r="D30" s="8" t="n">
        <v>197</v>
      </c>
      <c r="E30" s="9" t="n">
        <v>3349</v>
      </c>
      <c r="F30" s="9" t="n">
        <v>1498</v>
      </c>
    </row>
    <row r="31" customFormat="false" ht="15" hidden="false" customHeight="false" outlineLevel="0" collapsed="false">
      <c r="A31" s="6" t="n">
        <v>46188</v>
      </c>
      <c r="B31" s="7" t="s">
        <v>28</v>
      </c>
      <c r="C31" s="7" t="s">
        <v>23</v>
      </c>
      <c r="D31" s="8" t="n">
        <v>512</v>
      </c>
      <c r="E31" s="9" t="n">
        <v>7680</v>
      </c>
      <c r="F31" s="9" t="n">
        <v>4152</v>
      </c>
    </row>
    <row r="32" customFormat="false" ht="15" hidden="false" customHeight="false" outlineLevel="0" collapsed="false">
      <c r="A32" s="6" t="n">
        <v>46188</v>
      </c>
      <c r="B32" s="7" t="s">
        <v>24</v>
      </c>
      <c r="C32" s="7" t="s">
        <v>26</v>
      </c>
      <c r="D32" s="8" t="n">
        <v>294</v>
      </c>
      <c r="E32" s="9" t="n">
        <v>4998</v>
      </c>
      <c r="F32" s="9" t="n">
        <v>2278</v>
      </c>
    </row>
    <row r="33" customFormat="false" ht="15" hidden="false" customHeight="false" outlineLevel="0" collapsed="false">
      <c r="A33" s="6" t="n">
        <v>46188</v>
      </c>
      <c r="B33" s="7" t="s">
        <v>27</v>
      </c>
      <c r="C33" s="7" t="s">
        <v>23</v>
      </c>
      <c r="D33" s="8" t="n">
        <v>131</v>
      </c>
      <c r="E33" s="9" t="n">
        <v>1965</v>
      </c>
      <c r="F33" s="9" t="n">
        <v>918</v>
      </c>
    </row>
    <row r="34" customFormat="false" ht="15" hidden="false" customHeight="false" outlineLevel="0" collapsed="false">
      <c r="A34" s="6" t="n">
        <v>46188</v>
      </c>
      <c r="B34" s="7" t="s">
        <v>28</v>
      </c>
      <c r="C34" s="7" t="s">
        <v>25</v>
      </c>
      <c r="D34" s="8" t="n">
        <v>347</v>
      </c>
      <c r="E34" s="9" t="n">
        <v>4858</v>
      </c>
      <c r="F34" s="9" t="n">
        <v>2426</v>
      </c>
    </row>
    <row r="35" customFormat="false" ht="15" hidden="false" customHeight="false" outlineLevel="0" collapsed="false">
      <c r="A35" s="6" t="n">
        <v>46189</v>
      </c>
      <c r="B35" s="7" t="s">
        <v>27</v>
      </c>
      <c r="C35" s="7" t="s">
        <v>22</v>
      </c>
      <c r="D35" s="8" t="n">
        <v>172</v>
      </c>
      <c r="E35" s="9" t="n">
        <v>5160</v>
      </c>
      <c r="F35" s="9" t="n">
        <v>2836</v>
      </c>
    </row>
    <row r="36" customFormat="false" ht="15" hidden="false" customHeight="false" outlineLevel="0" collapsed="false">
      <c r="A36" s="6" t="n">
        <v>46189</v>
      </c>
      <c r="B36" s="7" t="s">
        <v>28</v>
      </c>
      <c r="C36" s="7" t="s">
        <v>22</v>
      </c>
      <c r="D36" s="8" t="n">
        <v>130</v>
      </c>
      <c r="E36" s="9" t="n">
        <v>3900</v>
      </c>
      <c r="F36" s="9" t="n">
        <v>1935</v>
      </c>
    </row>
    <row r="37" customFormat="false" ht="15" hidden="false" customHeight="false" outlineLevel="0" collapsed="false">
      <c r="A37" s="6" t="n">
        <v>46189</v>
      </c>
      <c r="B37" s="7" t="s">
        <v>28</v>
      </c>
      <c r="C37" s="7" t="s">
        <v>25</v>
      </c>
      <c r="D37" s="8" t="n">
        <v>106</v>
      </c>
      <c r="E37" s="9" t="n">
        <v>1484</v>
      </c>
      <c r="F37" s="9" t="n">
        <v>776</v>
      </c>
    </row>
    <row r="38" customFormat="false" ht="15" hidden="false" customHeight="false" outlineLevel="0" collapsed="false">
      <c r="A38" s="6" t="n">
        <v>46189</v>
      </c>
      <c r="B38" s="7" t="s">
        <v>28</v>
      </c>
      <c r="C38" s="7" t="s">
        <v>26</v>
      </c>
      <c r="D38" s="8" t="n">
        <v>500</v>
      </c>
      <c r="E38" s="9" t="n">
        <v>8500</v>
      </c>
      <c r="F38" s="9" t="n">
        <v>3843</v>
      </c>
    </row>
    <row r="39" customFormat="false" ht="15" hidden="false" customHeight="false" outlineLevel="0" collapsed="false">
      <c r="A39" s="6" t="n">
        <v>46190</v>
      </c>
      <c r="B39" s="7" t="s">
        <v>24</v>
      </c>
      <c r="C39" s="7" t="s">
        <v>23</v>
      </c>
      <c r="D39" s="8" t="n">
        <v>255</v>
      </c>
      <c r="E39" s="9" t="n">
        <v>3825</v>
      </c>
      <c r="F39" s="9" t="n">
        <v>1934</v>
      </c>
    </row>
    <row r="40" customFormat="false" ht="15" hidden="false" customHeight="false" outlineLevel="0" collapsed="false">
      <c r="A40" s="6" t="n">
        <v>46190</v>
      </c>
      <c r="B40" s="7" t="s">
        <v>28</v>
      </c>
      <c r="C40" s="7" t="s">
        <v>22</v>
      </c>
      <c r="D40" s="8" t="n">
        <v>299</v>
      </c>
      <c r="E40" s="9" t="n">
        <v>8970</v>
      </c>
      <c r="F40" s="9" t="n">
        <v>4469</v>
      </c>
    </row>
    <row r="41" customFormat="false" ht="15" hidden="false" customHeight="false" outlineLevel="0" collapsed="false">
      <c r="A41" s="6" t="n">
        <v>46190</v>
      </c>
      <c r="B41" s="7" t="s">
        <v>21</v>
      </c>
      <c r="C41" s="7" t="s">
        <v>25</v>
      </c>
      <c r="D41" s="8" t="n">
        <v>343</v>
      </c>
      <c r="E41" s="9" t="n">
        <v>4802</v>
      </c>
      <c r="F41" s="9" t="n">
        <v>2568</v>
      </c>
    </row>
    <row r="42" customFormat="false" ht="15" hidden="false" customHeight="false" outlineLevel="0" collapsed="false">
      <c r="A42" s="6" t="n">
        <v>46190</v>
      </c>
      <c r="B42" s="7" t="s">
        <v>28</v>
      </c>
      <c r="C42" s="7" t="s">
        <v>25</v>
      </c>
      <c r="D42" s="8" t="n">
        <v>65</v>
      </c>
      <c r="E42" s="9" t="n">
        <v>910</v>
      </c>
      <c r="F42" s="9" t="n">
        <v>468</v>
      </c>
    </row>
    <row r="43" customFormat="false" ht="15" hidden="false" customHeight="false" outlineLevel="0" collapsed="false">
      <c r="A43" s="6" t="n">
        <v>46191</v>
      </c>
      <c r="B43" s="7" t="s">
        <v>27</v>
      </c>
      <c r="C43" s="7" t="s">
        <v>25</v>
      </c>
      <c r="D43" s="8" t="n">
        <v>453</v>
      </c>
      <c r="E43" s="9" t="n">
        <v>6342</v>
      </c>
      <c r="F43" s="9" t="n">
        <v>3238</v>
      </c>
    </row>
    <row r="44" customFormat="false" ht="15" hidden="false" customHeight="false" outlineLevel="0" collapsed="false">
      <c r="A44" s="6" t="n">
        <v>46191</v>
      </c>
      <c r="B44" s="7" t="s">
        <v>24</v>
      </c>
      <c r="C44" s="7" t="s">
        <v>22</v>
      </c>
      <c r="D44" s="8" t="n">
        <v>117</v>
      </c>
      <c r="E44" s="9" t="n">
        <v>3510</v>
      </c>
      <c r="F44" s="9" t="n">
        <v>1658</v>
      </c>
    </row>
    <row r="45" customFormat="false" ht="15" hidden="false" customHeight="false" outlineLevel="0" collapsed="false">
      <c r="A45" s="6" t="n">
        <v>46192</v>
      </c>
      <c r="B45" s="7" t="s">
        <v>28</v>
      </c>
      <c r="C45" s="7" t="s">
        <v>29</v>
      </c>
      <c r="D45" s="8" t="n">
        <v>548</v>
      </c>
      <c r="E45" s="9" t="n">
        <v>9864</v>
      </c>
      <c r="F45" s="9" t="n">
        <v>5124</v>
      </c>
    </row>
    <row r="46" customFormat="false" ht="15" hidden="false" customHeight="false" outlineLevel="0" collapsed="false">
      <c r="A46" s="6" t="n">
        <v>46192</v>
      </c>
      <c r="B46" s="7" t="s">
        <v>21</v>
      </c>
      <c r="C46" s="7" t="s">
        <v>23</v>
      </c>
      <c r="D46" s="8" t="n">
        <v>428</v>
      </c>
      <c r="E46" s="9" t="n">
        <v>6420</v>
      </c>
      <c r="F46" s="9" t="n">
        <v>3011</v>
      </c>
    </row>
    <row r="47" customFormat="false" ht="15" hidden="false" customHeight="false" outlineLevel="0" collapsed="false">
      <c r="A47" s="6" t="n">
        <v>46195</v>
      </c>
      <c r="B47" s="7" t="s">
        <v>24</v>
      </c>
      <c r="C47" s="7" t="s">
        <v>23</v>
      </c>
      <c r="D47" s="8" t="n">
        <v>490</v>
      </c>
      <c r="E47" s="9" t="n">
        <v>7350</v>
      </c>
      <c r="F47" s="9" t="n">
        <v>3751</v>
      </c>
    </row>
    <row r="48" customFormat="false" ht="15" hidden="false" customHeight="false" outlineLevel="0" collapsed="false">
      <c r="A48" s="6" t="n">
        <v>46195</v>
      </c>
      <c r="B48" s="7" t="s">
        <v>27</v>
      </c>
      <c r="C48" s="7" t="s">
        <v>26</v>
      </c>
      <c r="D48" s="8" t="n">
        <v>371</v>
      </c>
      <c r="E48" s="9" t="n">
        <v>6307</v>
      </c>
      <c r="F48" s="9" t="n">
        <v>2913</v>
      </c>
    </row>
    <row r="49" customFormat="false" ht="15" hidden="false" customHeight="false" outlineLevel="0" collapsed="false">
      <c r="A49" s="6" t="n">
        <v>46195</v>
      </c>
      <c r="B49" s="7" t="s">
        <v>21</v>
      </c>
      <c r="C49" s="7" t="s">
        <v>22</v>
      </c>
      <c r="D49" s="8" t="n">
        <v>251</v>
      </c>
      <c r="E49" s="9" t="n">
        <v>7530</v>
      </c>
      <c r="F49" s="9" t="n">
        <v>3945</v>
      </c>
    </row>
    <row r="50" customFormat="false" ht="15" hidden="false" customHeight="false" outlineLevel="0" collapsed="false">
      <c r="A50" s="6" t="n">
        <v>46195</v>
      </c>
      <c r="B50" s="7" t="s">
        <v>24</v>
      </c>
      <c r="C50" s="7" t="s">
        <v>29</v>
      </c>
      <c r="D50" s="8" t="n">
        <v>336</v>
      </c>
      <c r="E50" s="9" t="n">
        <v>6048</v>
      </c>
      <c r="F50" s="9" t="n">
        <v>3295</v>
      </c>
    </row>
    <row r="51" customFormat="false" ht="15" hidden="false" customHeight="false" outlineLevel="0" collapsed="false">
      <c r="A51" s="6" t="n">
        <v>46196</v>
      </c>
      <c r="B51" s="7" t="s">
        <v>21</v>
      </c>
      <c r="C51" s="7" t="s">
        <v>23</v>
      </c>
      <c r="D51" s="8" t="n">
        <v>117</v>
      </c>
      <c r="E51" s="9" t="n">
        <v>1755</v>
      </c>
      <c r="F51" s="9" t="n">
        <v>952</v>
      </c>
    </row>
    <row r="52" customFormat="false" ht="15" hidden="false" customHeight="false" outlineLevel="0" collapsed="false">
      <c r="A52" s="6" t="n">
        <v>46196</v>
      </c>
      <c r="B52" s="7" t="s">
        <v>28</v>
      </c>
      <c r="C52" s="7" t="s">
        <v>23</v>
      </c>
      <c r="D52" s="8" t="n">
        <v>509</v>
      </c>
      <c r="E52" s="9" t="n">
        <v>7635</v>
      </c>
      <c r="F52" s="9" t="n">
        <v>4187</v>
      </c>
    </row>
    <row r="53" customFormat="false" ht="15" hidden="false" customHeight="false" outlineLevel="0" collapsed="false">
      <c r="A53" s="6" t="n">
        <v>46196</v>
      </c>
      <c r="B53" s="7" t="s">
        <v>27</v>
      </c>
      <c r="C53" s="7" t="s">
        <v>23</v>
      </c>
      <c r="D53" s="8" t="n">
        <v>473</v>
      </c>
      <c r="E53" s="9" t="n">
        <v>7095</v>
      </c>
      <c r="F53" s="9" t="n">
        <v>3362</v>
      </c>
    </row>
    <row r="54" customFormat="false" ht="15" hidden="false" customHeight="false" outlineLevel="0" collapsed="false">
      <c r="A54" s="6" t="n">
        <v>46196</v>
      </c>
      <c r="B54" s="7" t="s">
        <v>27</v>
      </c>
      <c r="C54" s="7" t="s">
        <v>29</v>
      </c>
      <c r="D54" s="8" t="n">
        <v>89</v>
      </c>
      <c r="E54" s="9" t="n">
        <v>1602</v>
      </c>
      <c r="F54" s="9" t="n">
        <v>747</v>
      </c>
    </row>
    <row r="55" customFormat="false" ht="15" hidden="false" customHeight="false" outlineLevel="0" collapsed="false">
      <c r="A55" s="6" t="n">
        <v>46197</v>
      </c>
      <c r="B55" s="7" t="s">
        <v>21</v>
      </c>
      <c r="C55" s="7" t="s">
        <v>25</v>
      </c>
      <c r="D55" s="8" t="n">
        <v>449</v>
      </c>
      <c r="E55" s="9" t="n">
        <v>6286</v>
      </c>
      <c r="F55" s="9" t="n">
        <v>3134</v>
      </c>
    </row>
    <row r="56" customFormat="false" ht="15" hidden="false" customHeight="false" outlineLevel="0" collapsed="false">
      <c r="A56" s="6" t="n">
        <v>46197</v>
      </c>
      <c r="B56" s="7" t="s">
        <v>27</v>
      </c>
      <c r="C56" s="7" t="s">
        <v>29</v>
      </c>
      <c r="D56" s="8" t="n">
        <v>124</v>
      </c>
      <c r="E56" s="9" t="n">
        <v>2232</v>
      </c>
      <c r="F56" s="9" t="n">
        <v>1014</v>
      </c>
    </row>
    <row r="57" customFormat="false" ht="15" hidden="false" customHeight="false" outlineLevel="0" collapsed="false">
      <c r="A57" s="6" t="n">
        <v>46197</v>
      </c>
      <c r="B57" s="7" t="s">
        <v>27</v>
      </c>
      <c r="C57" s="7" t="s">
        <v>23</v>
      </c>
      <c r="D57" s="8" t="n">
        <v>303</v>
      </c>
      <c r="E57" s="9" t="n">
        <v>4545</v>
      </c>
      <c r="F57" s="9" t="n">
        <v>2473</v>
      </c>
    </row>
    <row r="58" customFormat="false" ht="15" hidden="false" customHeight="false" outlineLevel="0" collapsed="false">
      <c r="A58" s="6" t="n">
        <v>46197</v>
      </c>
      <c r="B58" s="7" t="s">
        <v>27</v>
      </c>
      <c r="C58" s="7" t="s">
        <v>22</v>
      </c>
      <c r="D58" s="8" t="n">
        <v>144</v>
      </c>
      <c r="E58" s="9" t="n">
        <v>4320</v>
      </c>
      <c r="F58" s="9" t="n">
        <v>2027</v>
      </c>
    </row>
    <row r="59" customFormat="false" ht="15" hidden="false" customHeight="false" outlineLevel="0" collapsed="false">
      <c r="A59" s="6" t="n">
        <v>46198</v>
      </c>
      <c r="B59" s="7" t="s">
        <v>28</v>
      </c>
      <c r="C59" s="7" t="s">
        <v>22</v>
      </c>
      <c r="D59" s="8" t="n">
        <v>425</v>
      </c>
      <c r="E59" s="9" t="n">
        <v>12750</v>
      </c>
      <c r="F59" s="9" t="n">
        <v>6047</v>
      </c>
    </row>
    <row r="60" customFormat="false" ht="15" hidden="false" customHeight="false" outlineLevel="0" collapsed="false">
      <c r="A60" s="6" t="n">
        <v>46198</v>
      </c>
      <c r="B60" s="7" t="s">
        <v>24</v>
      </c>
      <c r="C60" s="7" t="s">
        <v>26</v>
      </c>
      <c r="D60" s="8" t="n">
        <v>403</v>
      </c>
      <c r="E60" s="9" t="n">
        <v>6851</v>
      </c>
      <c r="F60" s="9" t="n">
        <v>3504</v>
      </c>
    </row>
    <row r="61" customFormat="false" ht="15" hidden="false" customHeight="false" outlineLevel="0" collapsed="false">
      <c r="A61" s="6" t="n">
        <v>46198</v>
      </c>
      <c r="B61" s="7" t="s">
        <v>27</v>
      </c>
      <c r="C61" s="7" t="s">
        <v>25</v>
      </c>
      <c r="D61" s="8" t="n">
        <v>284</v>
      </c>
      <c r="E61" s="9" t="n">
        <v>3976</v>
      </c>
      <c r="F61" s="9" t="n">
        <v>2143</v>
      </c>
    </row>
    <row r="62" customFormat="false" ht="15" hidden="false" customHeight="false" outlineLevel="0" collapsed="false">
      <c r="A62" s="6" t="n">
        <v>46198</v>
      </c>
      <c r="B62" s="7" t="s">
        <v>27</v>
      </c>
      <c r="C62" s="7" t="s">
        <v>22</v>
      </c>
      <c r="D62" s="8" t="n">
        <v>291</v>
      </c>
      <c r="E62" s="9" t="n">
        <v>8730</v>
      </c>
      <c r="F62" s="9" t="n">
        <v>3957</v>
      </c>
    </row>
    <row r="63" customFormat="false" ht="15" hidden="false" customHeight="false" outlineLevel="0" collapsed="false">
      <c r="A63" s="6" t="n">
        <v>46199</v>
      </c>
      <c r="B63" s="7" t="s">
        <v>21</v>
      </c>
      <c r="C63" s="7" t="s">
        <v>25</v>
      </c>
      <c r="D63" s="8" t="n">
        <v>70</v>
      </c>
      <c r="E63" s="9" t="n">
        <v>980</v>
      </c>
      <c r="F63" s="9" t="n">
        <v>495</v>
      </c>
    </row>
    <row r="64" customFormat="false" ht="15" hidden="false" customHeight="false" outlineLevel="0" collapsed="false">
      <c r="A64" s="6" t="n">
        <v>46199</v>
      </c>
      <c r="B64" s="7" t="s">
        <v>28</v>
      </c>
      <c r="C64" s="7" t="s">
        <v>23</v>
      </c>
      <c r="D64" s="8" t="n">
        <v>177</v>
      </c>
      <c r="E64" s="9" t="n">
        <v>2655</v>
      </c>
      <c r="F64" s="9" t="n">
        <v>1340</v>
      </c>
    </row>
    <row r="65" customFormat="false" ht="15" hidden="false" customHeight="false" outlineLevel="0" collapsed="false">
      <c r="A65" s="6" t="n">
        <v>46202</v>
      </c>
      <c r="B65" s="7" t="s">
        <v>21</v>
      </c>
      <c r="C65" s="7" t="s">
        <v>25</v>
      </c>
      <c r="D65" s="8" t="n">
        <v>177</v>
      </c>
      <c r="E65" s="9" t="n">
        <v>2478</v>
      </c>
      <c r="F65" s="9" t="n">
        <v>1109</v>
      </c>
    </row>
    <row r="66" customFormat="false" ht="15" hidden="false" customHeight="false" outlineLevel="0" collapsed="false">
      <c r="A66" s="6" t="n">
        <v>46202</v>
      </c>
      <c r="B66" s="7" t="s">
        <v>21</v>
      </c>
      <c r="C66" s="7" t="s">
        <v>26</v>
      </c>
      <c r="D66" s="8" t="n">
        <v>76</v>
      </c>
      <c r="E66" s="9" t="n">
        <v>1292</v>
      </c>
      <c r="F66" s="9" t="n">
        <v>691</v>
      </c>
    </row>
    <row r="67" customFormat="false" ht="15" hidden="false" customHeight="false" outlineLevel="0" collapsed="false">
      <c r="A67" s="6" t="n">
        <v>46203</v>
      </c>
      <c r="B67" s="7" t="s">
        <v>27</v>
      </c>
      <c r="C67" s="7" t="s">
        <v>26</v>
      </c>
      <c r="D67" s="8" t="n">
        <v>202</v>
      </c>
      <c r="E67" s="9" t="n">
        <v>3434</v>
      </c>
      <c r="F67" s="9" t="n">
        <v>1764</v>
      </c>
    </row>
    <row r="68" customFormat="false" ht="15" hidden="false" customHeight="false" outlineLevel="0" collapsed="false">
      <c r="A68" s="6" t="n">
        <v>46203</v>
      </c>
      <c r="B68" s="7" t="s">
        <v>24</v>
      </c>
      <c r="C68" s="7" t="s">
        <v>25</v>
      </c>
      <c r="D68" s="8" t="n">
        <v>169</v>
      </c>
      <c r="E68" s="9" t="n">
        <v>2366</v>
      </c>
      <c r="F68" s="9" t="n">
        <v>1181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0" t="s">
        <v>17</v>
      </c>
      <c r="B1" s="10" t="s">
        <v>30</v>
      </c>
      <c r="C1" s="10" t="s">
        <v>31</v>
      </c>
    </row>
    <row r="3" customFormat="false" ht="15" hidden="false" customHeight="false" outlineLevel="0" collapsed="false">
      <c r="E3" s="2" t="s">
        <v>32</v>
      </c>
    </row>
    <row r="4" customFormat="false" ht="15" hidden="false" customHeight="false" outlineLevel="0" collapsed="false">
      <c r="E4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34</v>
      </c>
    </row>
    <row r="3" customFormat="false" ht="15" hidden="false" customHeight="false" outlineLevel="0" collapsed="false">
      <c r="A3" s="10" t="s">
        <v>17</v>
      </c>
      <c r="B3" s="10" t="s">
        <v>19</v>
      </c>
      <c r="C3" s="10" t="s">
        <v>20</v>
      </c>
      <c r="D3" s="10" t="s">
        <v>35</v>
      </c>
    </row>
    <row r="4" customFormat="false" ht="15" hidden="false" customHeight="false" outlineLevel="0" collapsed="false">
      <c r="A4" s="4" t="s">
        <v>23</v>
      </c>
      <c r="B4" s="11" t="n">
        <f aca="false">SUMIFS(Data!$E$2:$E$68,Data!$C$2:$C$68,$A4)</f>
        <v>60045</v>
      </c>
      <c r="C4" s="11" t="n">
        <f aca="false">SUMIFS(Data!$F$2:$F$68,Data!$C$2:$C$68,$A4)</f>
        <v>30722</v>
      </c>
      <c r="D4" s="12" t="n">
        <f aca="false">IFERROR((B4-C4)/B4,"-")</f>
        <v>0.488350403863769</v>
      </c>
    </row>
    <row r="5" customFormat="false" ht="15" hidden="false" customHeight="false" outlineLevel="0" collapsed="false">
      <c r="A5" s="4" t="s">
        <v>26</v>
      </c>
      <c r="B5" s="11" t="n">
        <f aca="false">SUMIFS(Data!$E$2:$E$68,Data!$C$2:$C$68,$A5)</f>
        <v>66249</v>
      </c>
      <c r="C5" s="11" t="n">
        <f aca="false">SUMIFS(Data!$F$2:$F$68,Data!$C$2:$C$68,$A5)</f>
        <v>31832</v>
      </c>
      <c r="D5" s="12" t="n">
        <f aca="false">IFERROR((B5-C5)/B5,"-")</f>
        <v>0.519509728448731</v>
      </c>
    </row>
    <row r="6" customFormat="false" ht="15" hidden="false" customHeight="false" outlineLevel="0" collapsed="false">
      <c r="A6" s="4" t="s">
        <v>25</v>
      </c>
      <c r="B6" s="11" t="n">
        <f aca="false">SUMIFS(Data!$E$2:$E$68,Data!$C$2:$C$68,$A6)</f>
        <v>76790</v>
      </c>
      <c r="C6" s="11" t="n">
        <f aca="false">SUMIFS(Data!$F$2:$F$68,Data!$C$2:$C$68,$A6)</f>
        <v>38185</v>
      </c>
      <c r="D6" s="12" t="n">
        <f aca="false">IFERROR((B6-C6)/B6,"-")</f>
        <v>0.502734731084777</v>
      </c>
    </row>
    <row r="7" customFormat="false" ht="15" hidden="false" customHeight="false" outlineLevel="0" collapsed="false">
      <c r="A7" s="4" t="s">
        <v>22</v>
      </c>
      <c r="B7" s="11" t="n">
        <f aca="false">SUMIFS(Data!$E$2:$E$68,Data!$C$2:$C$68,$A7)</f>
        <v>112020</v>
      </c>
      <c r="C7" s="11" t="n">
        <f aca="false">SUMIFS(Data!$F$2:$F$68,Data!$C$2:$C$68,$A7)</f>
        <v>53955</v>
      </c>
      <c r="D7" s="12" t="n">
        <f aca="false">IFERROR((B7-C7)/B7,"-")</f>
        <v>0.518344938403856</v>
      </c>
    </row>
    <row r="8" customFormat="false" ht="15" hidden="false" customHeight="false" outlineLevel="0" collapsed="false">
      <c r="A8" s="4" t="s">
        <v>29</v>
      </c>
      <c r="B8" s="11" t="n">
        <f aca="false">SUMIFS(Data!$E$2:$E$68,Data!$C$2:$C$68,$A8)</f>
        <v>43164</v>
      </c>
      <c r="C8" s="11" t="n">
        <f aca="false">SUMIFS(Data!$F$2:$F$68,Data!$C$2:$C$68,$A8)</f>
        <v>21354</v>
      </c>
      <c r="D8" s="12" t="n">
        <f aca="false">IFERROR((B8-C8)/B8,"-")</f>
        <v>0.505282179594106</v>
      </c>
    </row>
    <row r="9" customFormat="false" ht="15" hidden="false" customHeight="false" outlineLevel="0" collapsed="false">
      <c r="A9" s="3" t="s">
        <v>36</v>
      </c>
      <c r="B9" s="13" t="n">
        <f aca="false">SUM(B4:B8)</f>
        <v>358268</v>
      </c>
      <c r="C9" s="13" t="n">
        <f aca="false">SUM(C4:C8)</f>
        <v>176048</v>
      </c>
      <c r="D9" s="14" t="n">
        <f aca="false">IFERROR((B9-C9)/B9,"-")</f>
        <v>0.508613663514464</v>
      </c>
    </row>
    <row r="11" customFormat="false" ht="15" hidden="false" customHeight="false" outlineLevel="0" collapsed="false">
      <c r="A11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2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15" t="s">
        <v>38</v>
      </c>
    </row>
    <row r="2" customFormat="false" ht="15" hidden="false" customHeight="false" outlineLevel="0" collapsed="false">
      <c r="A2" s="4" t="s">
        <v>39</v>
      </c>
    </row>
    <row r="3" customFormat="false" ht="15" hidden="false" customHeight="false" outlineLevel="0" collapsed="false">
      <c r="A3" s="4" t="s">
        <v>40</v>
      </c>
    </row>
    <row r="5" customFormat="false" ht="15" hidden="false" customHeight="false" outlineLevel="0" collapsed="false">
      <c r="A5" s="15" t="s">
        <v>41</v>
      </c>
    </row>
    <row r="6" customFormat="false" ht="15" hidden="false" customHeight="false" outlineLevel="0" collapsed="false">
      <c r="A6" s="4" t="s">
        <v>42</v>
      </c>
    </row>
    <row r="7" customFormat="false" ht="15" hidden="false" customHeight="false" outlineLevel="0" collapsed="false">
      <c r="A7" s="4" t="s">
        <v>43</v>
      </c>
    </row>
    <row r="9" customFormat="false" ht="15" hidden="false" customHeight="false" outlineLevel="0" collapsed="false">
      <c r="A9" s="15" t="s">
        <v>44</v>
      </c>
    </row>
    <row r="10" customFormat="false" ht="15" hidden="false" customHeight="false" outlineLevel="0" collapsed="false">
      <c r="A10" s="4" t="s">
        <v>45</v>
      </c>
    </row>
    <row r="11" customFormat="false" ht="15" hidden="false" customHeight="false" outlineLevel="0" collapsed="false">
      <c r="A11" s="4" t="str">
        <f aca="false">IF(B11="Executive","Show KPI summary only","Include full drill-down tables")</f>
        <v>Include full drill-down tables</v>
      </c>
      <c r="B11" s="16" t="s">
        <v>46</v>
      </c>
      <c r="C11" s="2" t="s">
        <v>47</v>
      </c>
    </row>
    <row r="12" customFormat="false" ht="15" hidden="false" customHeight="false" outlineLevel="0" collapsed="false">
      <c r="A12" s="4" t="str">
        <f aca="false">IF(COUNTA(Forecast!A:A)&gt;1,"Compare actuals against the forecast in every summary","Report actuals only; no forecast comparison yet")</f>
        <v>Report actuals only; no forecast comparison yet</v>
      </c>
      <c r="C12" s="2" t="s">
        <v>48</v>
      </c>
    </row>
    <row r="14" customFormat="false" ht="15" hidden="false" customHeight="false" outlineLevel="0" collapsed="false">
      <c r="A14" s="2" t="s">
        <v>49</v>
      </c>
    </row>
  </sheetData>
  <dataValidations count="1">
    <dataValidation allowBlank="false" errorStyle="stop" operator="between" showDropDown="false" showErrorMessage="false" showInputMessage="false" sqref="B11" type="list">
      <formula1>"Executive,Analyst"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2026-07-20T15:57:19Z</dcterms:created>
  <dc:creator>openpyxl</dc:creator>
  <dc:description/>
  <dc:language>en-US</dc:language>
  <cp:lastModifiedBy/>
  <dcterms:modified xsi:type="dcterms:W3CDTF">2026-07-20T15:57:19Z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
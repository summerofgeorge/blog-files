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13_ncr:1_{4CFFB4B3-430A-43B7-821F-009356118EE9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Monthly Returns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 a="1"/>
  <c r="M3" i="1" s="1" a="1"/>
  <c r="M10" i="1" s="1" a="1"/>
  <c r="M12" i="1" s="1" a="1"/>
  <c r="M24" i="1" s="1" a="1"/>
  <c r="M45" i="1" l="1" a="1"/>
  <c r="M53" i="1" s="1" a="1"/>
  <c r="M60" i="1" s="1" a="1"/>
  <c r="M60" i="1"/>
  <c r="M53" i="1"/>
  <c r="M45" i="1"/>
  <c r="M24" i="1"/>
  <c r="M12" i="1"/>
  <c r="M10" i="1"/>
  <c r="M3" i="1"/>
  <c r="M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"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sklearn.decomposition import PCA
import statsmodels.api as sm
returns_df = xl(%P2%, headers=True)</code>
    </pythonScript>
    <pythonScript>
      <code>returns_df["Date"] = pd.to_datetime(returns_df["Date"])
stock_returns_df = returns_df.drop(columns="Date")
stock_returns_df.head()</code>
    </pythonScript>
    <pythonScript>
      <code>pca = PCA()
pca.fit(stock_returns_df)</code>
    </pythonScript>
    <pythonScript>
      <code>explained_variance_df = pd.DataFrame({
    "Component": [f"PC{i}" for i in range(1, len(pca.explained_variance_ratio_) + 1)],
    "Explained Variance": pca.explained_variance_ratio_,
    "Cumulative Variance": pca.explained_variance_ratio_.cumsum()
})
explained_variance_df</code>
    </pythonScript>
    <pythonScript>
      <code>plt.plot(
    explained_variance_df["Component"],
    explained_variance_df["Cumulative Variance"],
    marker="o"
)
plt.title("Cumulative Explained Variance by Principal Component")
plt.xlabel("Principal Component")
plt.ylabel("Cumulative Explained Variance")
plt.xticks(rotation=45)</code>
    </pythonScript>
    <pythonScript>
      <code>factor_array = pca.transform(stock_returns_df)
factor_df = pd.DataFrame(
    factor_array[:, :3],
    columns=["PC1", "PC2", "PC3"]
)
factor_df.head()</code>
    </pythonScript>
    <pythonScript>
      <code>factor_df.insert(0, "Date", returns_df["Date"])
factor_df.head()</code>
    </pythonScript>
    <pythonScript>
      <code>y = stock_returns_df["AAPL"]
X = factor_df[["PC1", "PC2", "PC3"]]
X = sm.add_constant(X)
model = sm.OLS(y, X).fit()
summary_df = pd.DataFrame(
    model.summary().tables[1].data[1:],
    columns=model.summary().tables[1].data[0]
)
summary_df</code>
    </pythonScript>
  </pythonScripts>
</python>
</file>

<file path=xl/sharedStrings.xml><?xml version="1.0" encoding="utf-8"?>
<sst xmlns="http://schemas.openxmlformats.org/spreadsheetml/2006/main" count="24" uniqueCount="24">
  <si>
    <t>Date</t>
  </si>
  <si>
    <t>AAPL</t>
  </si>
  <si>
    <t>MSFT</t>
  </si>
  <si>
    <t>NVDA</t>
  </si>
  <si>
    <t>AMZN</t>
  </si>
  <si>
    <t>META</t>
  </si>
  <si>
    <t>GOOGL</t>
  </si>
  <si>
    <t>NFLX</t>
  </si>
  <si>
    <t>ORCL</t>
  </si>
  <si>
    <t>CRM</t>
  </si>
  <si>
    <t>ADBE</t>
  </si>
  <si>
    <t>PCA Regression Demo Dataset</t>
  </si>
  <si>
    <t>Purpose</t>
  </si>
  <si>
    <t>Monthly return dataset for a Python in Excel blog post on PCA factors and regression.</t>
  </si>
  <si>
    <t>Rows</t>
  </si>
  <si>
    <t>60 months, January 2021 through December 2025.</t>
  </si>
  <si>
    <t>Columns</t>
  </si>
  <si>
    <t>Ten technology stock-style return series.</t>
  </si>
  <si>
    <t>Values</t>
  </si>
  <si>
    <t>Monthly returns as decimals, formatted as percentages.</t>
  </si>
  <si>
    <t>Suggested use</t>
  </si>
  <si>
    <t>Run PCA on the ten return columns, transform into PC factors, then regress one return series on the first few PCs.</t>
  </si>
  <si>
    <t>Note</t>
  </si>
  <si>
    <t>Designed for teaching; ticker labels are familiar but values are simulated for a clean PCA example.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</si>
</sst>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0.0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1F4E78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23</xdr:row>
      <xdr:rowOff>127001</xdr:rowOff>
    </xdr:from>
    <xdr:to>
      <xdr:col>17</xdr:col>
      <xdr:colOff>406401</xdr:colOff>
      <xdr:row>41</xdr:row>
      <xdr:rowOff>152049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435F8DB5-AA83-88F2-164C-EB198531D6D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Monthly Returns'!M2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3034" y="4119034"/>
          <a:ext cx="3826934" cy="314924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2">
    <v t="s"/>
    <v t="s">Date</v>
    <v t="s">AAPL</v>
    <v t="s">MSFT</v>
    <v t="s">NVDA</v>
    <v t="s">AMZN</v>
    <v t="s">...</v>
    <v t="s">GOOGL</v>
    <v t="s">NFLX</v>
    <v t="s">ORCL</v>
    <v t="s">CRM</v>
    <v t="s">ADBE</v>
    <v>0</v>
    <v t="r">0</v>
    <v>4.5089999999999998E-2</v>
    <v>3.5450000000000002E-2</v>
    <v>-1.6500000000000001E-2</v>
    <v>-1.324E-2</v>
    <v t="s">...</v>
    <v>8.0189999999999997E-2</v>
    <v>7.9299999999999995E-3</v>
    <v>3.7600000000000001E-2</v>
    <v>4.5769999999999998E-2</v>
    <v>-1.6000000000000001E-3</v>
    <v>1</v>
    <v t="r">1</v>
    <v>-2.682E-2</v>
    <v>-2.086E-2</v>
    <v>-6.7200000000000003E-3</v>
    <v>-2.2499999999999999E-2</v>
    <v t="s">...</v>
    <v>5.2670000000000002E-2</v>
    <v>-5.91E-2</v>
    <v>-2.7449999999999999E-2</v>
    <v>-3.7990000000000003E-2</v>
    <v>-1.9789999999999999E-2</v>
    <v>2</v>
    <v t="r">2</v>
    <v>5.5030000000000003E-2</v>
    <v>-1.41E-2</v>
    <v>3.2370000000000003E-2</v>
    <v>3.952E-2</v>
    <v t="s">...</v>
    <v>1.89E-3</v>
    <v>-9.672E-2</v>
    <v>2.538E-2</v>
    <v>3.7499999999999999E-2</v>
    <v>5.1599999999999997E-3</v>
    <v>3</v>
    <v t="r">3</v>
    <v>7.2500000000000004E-3</v>
    <v>5.7860000000000002E-2</v>
    <v>9.5930000000000001E-2</v>
    <v>7.0129999999999998E-2</v>
    <v t="s">...</v>
    <v>7.1360000000000007E-2</v>
    <v>4.7160000000000001E-2</v>
    <v>7.4829999999999994E-2</v>
    <v>8.9260000000000006E-2</v>
    <v>2.3109999999999999E-2</v>
    <v>4</v>
    <v t="r">4</v>
    <v>3.78E-2</v>
    <v>1.2109999999999999E-2</v>
    <v>-2.7439999999999999E-2</v>
    <v>2.18E-2</v>
    <v t="s">...</v>
    <v>3.95E-2</v>
    <v>-1.5429999999999999E-2</v>
    <v>-4.9099999999999998E-2</v>
    <v>4.1549999999999997E-2</v>
    <v>1.2E-4</v>
    <v t="s">...</v>
    <v t="s">...</v>
    <v t="s">...</v>
    <v t="s">...</v>
    <v t="s">...</v>
    <v t="s">...</v>
    <v t="s">...</v>
    <v t="s">...</v>
    <v t="s">...</v>
    <v t="s">...</v>
    <v t="s">...</v>
    <v t="s">...</v>
    <v>55</v>
    <v t="r">5</v>
    <v>8.4029999999999994E-2</v>
    <v>6.9430000000000006E-2</v>
    <v>4.3270000000000003E-2</v>
    <v>2.002E-2</v>
    <v t="s">...</v>
    <v>4.7019999999999999E-2</v>
    <v>6.5680000000000002E-2</v>
    <v>2.9569999999999999E-2</v>
    <v>5.867E-2</v>
    <v>9.9640000000000006E-2</v>
    <v>56</v>
    <v t="r">6</v>
    <v>-2.6370000000000001E-2</v>
    <v>-7.4929999999999997E-2</v>
    <v>1.0630000000000001E-2</v>
    <v>-2.76E-2</v>
    <v t="s">...</v>
    <v>-7.11E-3</v>
    <v>-7.8799999999999995E-2</v>
    <v>-2.6120000000000001E-2</v>
    <v>-2.4049999999999998E-2</v>
    <v>-2.2970000000000001E-2</v>
    <v>57</v>
    <v t="r">7</v>
    <v>1.295E-2</v>
    <v>-2.2249999999999999E-2</v>
    <v>-3.3529999999999997E-2</v>
    <v>-4.5710000000000001E-2</v>
    <v t="s">...</v>
    <v>-2.1080000000000002E-2</v>
    <v>-6.7750000000000005E-2</v>
    <v>-4.3889999999999998E-2</v>
    <v>-3.8390000000000001E-2</v>
    <v>-3.2410000000000001E-2</v>
    <v>58</v>
    <v t="r">8</v>
    <v>4.5060000000000003E-2</v>
    <v>3.0710000000000001E-2</v>
    <v>0.11776</v>
    <v>6.9339999999999999E-2</v>
    <v t="s">...</v>
    <v>0.14304</v>
    <v>0.12709000000000001</v>
    <v>2.4639999999999999E-2</v>
    <v>6.5460000000000004E-2</v>
    <v>4.7129999999999998E-2</v>
    <v>59</v>
    <v t="r">9</v>
    <v>0.15357999999999999</v>
    <v>8.6120000000000002E-2</v>
    <v>0.12944</v>
    <v>4.1140000000000003E-2</v>
    <v t="s">...</v>
    <v>0.10066</v>
    <v>4.6379999999999998E-2</v>
    <v>5.9929999999999997E-2</v>
    <v>6.5809999999999994E-2</v>
    <v>7.4490000000000001E-2</v>
  </a>
</arrayData>
</file>

<file path=xl/richData/rdrichvalue.xml><?xml version="1.0" encoding="utf-8"?>
<rvData xmlns="http://schemas.microsoft.com/office/spreadsheetml/2017/richdata" count="15">
  <rv s="0">
    <fb>44197</fb>
    <v>2</v>
  </rv>
  <rv s="0">
    <fb>44228</fb>
    <v>2</v>
  </rv>
  <rv s="0">
    <fb>44256</fb>
    <v>2</v>
  </rv>
  <rv s="0">
    <fb>44287</fb>
    <v>2</v>
  </rv>
  <rv s="0">
    <fb>44317</fb>
    <v>2</v>
  </rv>
  <rv s="0">
    <fb>45870</fb>
    <v>2</v>
  </rv>
  <rv s="0">
    <fb>45901</fb>
    <v>2</v>
  </rv>
  <rv s="0">
    <fb>45931</fb>
    <v>2</v>
  </rv>
  <rv s="0">
    <fb>45962</fb>
    <v>2</v>
  </rv>
  <rv s="0">
    <fb>45992</fb>
    <v>2</v>
  </rv>
  <rv s="1">
    <v>0</v>
  </rv>
  <rv s="2">
    <v>DataFrame</v>
    <v>1</v>
    <v>10</v>
  </rv>
  <rv s="3">
    <v>&lt;class 'pandas.core.frame.DataFrame'&gt;</v>
    <v>DataFrame</v>
    <v xml:space="preserve">         Date     AAPL     MSFT     NVDA     AMZN     META    GOOGL     NFLX  \
0  2021-01-01  0.04509  0.03545 -0.01650 -0.01324  0.04600  0.08019  0.00793   
1  2021-02-01 -0.02682 -0.02086 -0.00672 -0.02250  0.07587  0.05267 -0.05910   
2  2021-03-0...</v>
    <v>11</v>
    <v>3</v>
  </rv>
  <rv s="4">
    <v>&lt;class 'sklearn.decomposition._pca.PCA'&gt;</v>
    <v>PCA</v>
    <v>PCA()</v>
    <v>3</v>
  </rv>
  <rv s="5">
    <v>0</v>
    <v>9</v>
    <v>Image generated by Python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4">
    <spb s="0">
      <v>60</v>
      <v>11</v>
      <v>DataFrame</v>
      <v>arrayPreview</v>
      <v>1</v>
    </spb>
    <spb s="1">
      <v>0</v>
    </spb>
    <spb s="2">
      <v>1</v>
    </spb>
    <spb s="3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Styles>
    <rSty dxfid="0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Returns" displayName="MonthlyReturns" ref="A1:K61">
  <tableColumns count="11">
    <tableColumn id="1" xr3:uid="{00000000-0010-0000-0000-000001000000}" name="Date"/>
    <tableColumn id="2" xr3:uid="{00000000-0010-0000-0000-000002000000}" name="AAPL"/>
    <tableColumn id="3" xr3:uid="{00000000-0010-0000-0000-000003000000}" name="MSFT"/>
    <tableColumn id="4" xr3:uid="{00000000-0010-0000-0000-000004000000}" name="NVDA"/>
    <tableColumn id="5" xr3:uid="{00000000-0010-0000-0000-000005000000}" name="AMZN"/>
    <tableColumn id="6" xr3:uid="{00000000-0010-0000-0000-000006000000}" name="META"/>
    <tableColumn id="7" xr3:uid="{00000000-0010-0000-0000-000007000000}" name="GOOGL"/>
    <tableColumn id="8" xr3:uid="{00000000-0010-0000-0000-000008000000}" name="NFLX"/>
    <tableColumn id="9" xr3:uid="{00000000-0010-0000-0000-000009000000}" name="ORCL"/>
    <tableColumn id="10" xr3:uid="{00000000-0010-0000-0000-00000A000000}" name="CRM"/>
    <tableColumn id="11" xr3:uid="{00000000-0010-0000-0000-00000B000000}" name="ADB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"/>
  <sheetViews>
    <sheetView tabSelected="1" workbookViewId="0">
      <selection activeCell="A3" sqref="A3"/>
    </sheetView>
  </sheetViews>
  <sheetFormatPr defaultRowHeight="13.7"/>
  <cols>
    <col min="1" max="1" width="7.33203125" bestFit="1" customWidth="1"/>
    <col min="2" max="6" width="7.44140625" bestFit="1" customWidth="1"/>
    <col min="7" max="7" width="7.5" bestFit="1" customWidth="1"/>
    <col min="8" max="11" width="7.44140625" bestFit="1" customWidth="1"/>
    <col min="13" max="13" width="13.33203125" style="7" bestFit="1" customWidth="1"/>
    <col min="14" max="14" width="8.44140625" style="7" bestFit="1" customWidth="1"/>
    <col min="15" max="15" width="9.5546875" style="7" bestFit="1" customWidth="1"/>
    <col min="16" max="16" width="7.71875" style="7" bestFit="1" customWidth="1"/>
    <col min="17" max="17" width="5.83203125" style="7" bestFit="1" customWidth="1"/>
    <col min="18" max="18" width="7.5" style="7" bestFit="1" customWidth="1"/>
    <col min="19" max="19" width="7.21875" style="7" bestFit="1" customWidth="1"/>
    <col min="20" max="22" width="5.83203125" style="7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7" t="e" cm="1" vm="1">
        <f t="array" ref="M1">_xlfn._xlws.PY(0,1,MonthlyReturns[#All])</f>
        <v>#VALUE!</v>
      </c>
    </row>
    <row r="2" spans="1:22">
      <c r="A2" s="2">
        <v>44197</v>
      </c>
      <c r="B2" s="3">
        <v>4.5089999999999998E-2</v>
      </c>
      <c r="C2" s="3">
        <v>3.5450000000000002E-2</v>
      </c>
      <c r="D2" s="3">
        <v>-1.6500000000000001E-2</v>
      </c>
      <c r="E2" s="3">
        <v>-1.324E-2</v>
      </c>
      <c r="F2" s="3">
        <v>4.5999999999999999E-2</v>
      </c>
      <c r="G2" s="3">
        <v>8.0189999999999997E-2</v>
      </c>
      <c r="H2" s="3">
        <v>7.9299999999999995E-3</v>
      </c>
      <c r="I2" s="3">
        <v>3.7600000000000001E-2</v>
      </c>
      <c r="J2" s="3">
        <v>4.5769999999999998E-2</v>
      </c>
      <c r="K2" s="3">
        <v>-1.6000000000000001E-3</v>
      </c>
    </row>
    <row r="3" spans="1:22">
      <c r="A3" s="2">
        <v>44228</v>
      </c>
      <c r="B3" s="3">
        <v>-2.682E-2</v>
      </c>
      <c r="C3" s="3">
        <v>-2.086E-2</v>
      </c>
      <c r="D3" s="3">
        <v>-6.7200000000000003E-3</v>
      </c>
      <c r="E3" s="3">
        <v>-2.2499999999999999E-2</v>
      </c>
      <c r="F3" s="3">
        <v>7.5870000000000007E-2</v>
      </c>
      <c r="G3" s="3">
        <v>5.2670000000000002E-2</v>
      </c>
      <c r="H3" s="3">
        <v>-5.91E-2</v>
      </c>
      <c r="I3" s="3">
        <v>-2.7449999999999999E-2</v>
      </c>
      <c r="J3" s="3">
        <v>-3.7990000000000003E-2</v>
      </c>
      <c r="K3" s="3">
        <v>-1.9789999999999999E-2</v>
      </c>
      <c r="M3" s="7" t="str" cm="1">
        <f t="array" ref="M3:V8">_xlfn._xlws.PY(1,0)</f>
        <v>AAPL</v>
      </c>
      <c r="N3" s="7" t="str">
        <v>MSFT</v>
      </c>
      <c r="O3" s="7" t="str">
        <v>NVDA</v>
      </c>
      <c r="P3" s="7" t="str">
        <v>AMZN</v>
      </c>
      <c r="Q3" s="7" t="str">
        <v>META</v>
      </c>
      <c r="R3" s="7" t="str">
        <v>GOOGL</v>
      </c>
      <c r="S3" s="7" t="str">
        <v>NFLX</v>
      </c>
      <c r="T3" s="7" t="str">
        <v>ORCL</v>
      </c>
      <c r="U3" s="7" t="str">
        <v>CRM</v>
      </c>
      <c r="V3" s="7" t="str">
        <v>ADBE</v>
      </c>
    </row>
    <row r="4" spans="1:22">
      <c r="A4" s="2">
        <v>44256</v>
      </c>
      <c r="B4" s="3">
        <v>5.5030000000000003E-2</v>
      </c>
      <c r="C4" s="3">
        <v>-1.41E-2</v>
      </c>
      <c r="D4" s="3">
        <v>3.2370000000000003E-2</v>
      </c>
      <c r="E4" s="3">
        <v>3.952E-2</v>
      </c>
      <c r="F4" s="3">
        <v>1.14E-3</v>
      </c>
      <c r="G4" s="3">
        <v>1.89E-3</v>
      </c>
      <c r="H4" s="3">
        <v>-9.672E-2</v>
      </c>
      <c r="I4" s="3">
        <v>2.538E-2</v>
      </c>
      <c r="J4" s="3">
        <v>3.7499999999999999E-2</v>
      </c>
      <c r="K4" s="3">
        <v>5.1599999999999997E-3</v>
      </c>
      <c r="M4" s="7">
        <v>4.5089999999999998E-2</v>
      </c>
      <c r="N4" s="7">
        <v>3.5450000000000002E-2</v>
      </c>
      <c r="O4" s="7">
        <v>-1.6500000000000001E-2</v>
      </c>
      <c r="P4" s="7">
        <v>-1.324E-2</v>
      </c>
      <c r="Q4" s="7">
        <v>4.5999999999999999E-2</v>
      </c>
      <c r="R4" s="7">
        <v>8.0189999999999997E-2</v>
      </c>
      <c r="S4" s="7">
        <v>7.9299999999999995E-3</v>
      </c>
      <c r="T4" s="7">
        <v>3.7600000000000001E-2</v>
      </c>
      <c r="U4" s="7">
        <v>4.5769999999999998E-2</v>
      </c>
      <c r="V4" s="7">
        <v>-1.6000000000000001E-3</v>
      </c>
    </row>
    <row r="5" spans="1:22">
      <c r="A5" s="2">
        <v>44287</v>
      </c>
      <c r="B5" s="3">
        <v>7.2500000000000004E-3</v>
      </c>
      <c r="C5" s="3">
        <v>5.7860000000000002E-2</v>
      </c>
      <c r="D5" s="3">
        <v>9.5930000000000001E-2</v>
      </c>
      <c r="E5" s="3">
        <v>7.0129999999999998E-2</v>
      </c>
      <c r="F5" s="3">
        <v>6.5720000000000001E-2</v>
      </c>
      <c r="G5" s="3">
        <v>7.1360000000000007E-2</v>
      </c>
      <c r="H5" s="3">
        <v>4.7160000000000001E-2</v>
      </c>
      <c r="I5" s="3">
        <v>7.4829999999999994E-2</v>
      </c>
      <c r="J5" s="3">
        <v>8.9260000000000006E-2</v>
      </c>
      <c r="K5" s="3">
        <v>2.3109999999999999E-2</v>
      </c>
      <c r="M5" s="7">
        <v>-2.682E-2</v>
      </c>
      <c r="N5" s="7">
        <v>-2.086E-2</v>
      </c>
      <c r="O5" s="7">
        <v>-6.7200000000000003E-3</v>
      </c>
      <c r="P5" s="7">
        <v>-2.2499999999999999E-2</v>
      </c>
      <c r="Q5" s="7">
        <v>7.5870000000000007E-2</v>
      </c>
      <c r="R5" s="7">
        <v>5.2670000000000002E-2</v>
      </c>
      <c r="S5" s="7">
        <v>-5.91E-2</v>
      </c>
      <c r="T5" s="7">
        <v>-2.7449999999999999E-2</v>
      </c>
      <c r="U5" s="7">
        <v>-3.7990000000000003E-2</v>
      </c>
      <c r="V5" s="7">
        <v>-1.9789999999999999E-2</v>
      </c>
    </row>
    <row r="6" spans="1:22">
      <c r="A6" s="2">
        <v>44317</v>
      </c>
      <c r="B6" s="3">
        <v>3.78E-2</v>
      </c>
      <c r="C6" s="3">
        <v>1.2109999999999999E-2</v>
      </c>
      <c r="D6" s="3">
        <v>-2.7439999999999999E-2</v>
      </c>
      <c r="E6" s="3">
        <v>2.18E-2</v>
      </c>
      <c r="F6" s="3">
        <v>6.2080000000000003E-2</v>
      </c>
      <c r="G6" s="3">
        <v>3.95E-2</v>
      </c>
      <c r="H6" s="3">
        <v>-1.5429999999999999E-2</v>
      </c>
      <c r="I6" s="3">
        <v>-4.9099999999999998E-2</v>
      </c>
      <c r="J6" s="3">
        <v>4.1549999999999997E-2</v>
      </c>
      <c r="K6" s="3">
        <v>1.2E-4</v>
      </c>
      <c r="M6" s="7">
        <v>5.5030000000000003E-2</v>
      </c>
      <c r="N6" s="7">
        <v>-1.41E-2</v>
      </c>
      <c r="O6" s="7">
        <v>3.2370000000000003E-2</v>
      </c>
      <c r="P6" s="7">
        <v>3.952E-2</v>
      </c>
      <c r="Q6" s="7">
        <v>1.14E-3</v>
      </c>
      <c r="R6" s="7">
        <v>1.89E-3</v>
      </c>
      <c r="S6" s="7">
        <v>-9.672E-2</v>
      </c>
      <c r="T6" s="7">
        <v>2.538E-2</v>
      </c>
      <c r="U6" s="7">
        <v>3.7499999999999999E-2</v>
      </c>
      <c r="V6" s="7">
        <v>5.1599999999999997E-3</v>
      </c>
    </row>
    <row r="7" spans="1:22">
      <c r="A7" s="2">
        <v>44348</v>
      </c>
      <c r="B7" s="3">
        <v>9.8960000000000006E-2</v>
      </c>
      <c r="C7" s="3">
        <v>4.6969999999999998E-2</v>
      </c>
      <c r="D7" s="3">
        <v>3.7060000000000003E-2</v>
      </c>
      <c r="E7" s="3">
        <v>4.2009999999999999E-2</v>
      </c>
      <c r="F7" s="3">
        <v>2.546E-2</v>
      </c>
      <c r="G7" s="3">
        <v>7.424E-2</v>
      </c>
      <c r="H7" s="3">
        <v>-3.5810000000000002E-2</v>
      </c>
      <c r="I7" s="3">
        <v>9.3000000000000005E-4</v>
      </c>
      <c r="J7" s="3">
        <v>0.11638999999999999</v>
      </c>
      <c r="K7" s="3">
        <v>4.5109999999999997E-2</v>
      </c>
      <c r="M7" s="7">
        <v>7.2500000000000004E-3</v>
      </c>
      <c r="N7" s="7">
        <v>5.7860000000000002E-2</v>
      </c>
      <c r="O7" s="7">
        <v>9.5930000000000001E-2</v>
      </c>
      <c r="P7" s="7">
        <v>7.0129999999999998E-2</v>
      </c>
      <c r="Q7" s="7">
        <v>6.5720000000000001E-2</v>
      </c>
      <c r="R7" s="7">
        <v>7.1360000000000007E-2</v>
      </c>
      <c r="S7" s="7">
        <v>4.7160000000000001E-2</v>
      </c>
      <c r="T7" s="7">
        <v>7.4829999999999994E-2</v>
      </c>
      <c r="U7" s="7">
        <v>8.9260000000000006E-2</v>
      </c>
      <c r="V7" s="7">
        <v>2.3109999999999999E-2</v>
      </c>
    </row>
    <row r="8" spans="1:22">
      <c r="A8" s="2">
        <v>44378</v>
      </c>
      <c r="B8" s="3">
        <v>4.904E-2</v>
      </c>
      <c r="C8" s="3">
        <v>8.3489999999999995E-2</v>
      </c>
      <c r="D8" s="3">
        <v>7.5880000000000003E-2</v>
      </c>
      <c r="E8" s="3">
        <v>0.12964999999999999</v>
      </c>
      <c r="F8" s="3">
        <v>9.6629999999999994E-2</v>
      </c>
      <c r="G8" s="3">
        <v>4.249E-2</v>
      </c>
      <c r="H8" s="3">
        <v>3.9100000000000003E-2</v>
      </c>
      <c r="I8" s="3">
        <v>7.1879999999999999E-2</v>
      </c>
      <c r="J8" s="3">
        <v>4.0059999999999998E-2</v>
      </c>
      <c r="K8" s="3">
        <v>6.9400000000000003E-2</v>
      </c>
      <c r="M8" s="7">
        <v>3.78E-2</v>
      </c>
      <c r="N8" s="7">
        <v>1.2109999999999999E-2</v>
      </c>
      <c r="O8" s="7">
        <v>-2.7439999999999999E-2</v>
      </c>
      <c r="P8" s="7">
        <v>2.18E-2</v>
      </c>
      <c r="Q8" s="7">
        <v>6.2080000000000003E-2</v>
      </c>
      <c r="R8" s="7">
        <v>3.95E-2</v>
      </c>
      <c r="S8" s="7">
        <v>-1.5429999999999999E-2</v>
      </c>
      <c r="T8" s="7">
        <v>-4.9099999999999998E-2</v>
      </c>
      <c r="U8" s="7">
        <v>4.1549999999999997E-2</v>
      </c>
      <c r="V8" s="7">
        <v>1.2E-4</v>
      </c>
    </row>
    <row r="9" spans="1:22">
      <c r="A9" s="2">
        <v>44409</v>
      </c>
      <c r="B9" s="3">
        <v>5.1860000000000003E-2</v>
      </c>
      <c r="C9" s="3">
        <v>5.9950000000000003E-2</v>
      </c>
      <c r="D9" s="3">
        <v>6.3450000000000006E-2</v>
      </c>
      <c r="E9" s="3">
        <v>4.82E-2</v>
      </c>
      <c r="F9" s="3">
        <v>8.2580000000000001E-2</v>
      </c>
      <c r="G9" s="3">
        <v>8.5360000000000005E-2</v>
      </c>
      <c r="H9" s="3">
        <v>1.6E-2</v>
      </c>
      <c r="I9" s="3">
        <v>4.2529999999999998E-2</v>
      </c>
      <c r="J9" s="3">
        <v>2.102E-2</v>
      </c>
      <c r="K9" s="3">
        <v>0.12751000000000001</v>
      </c>
    </row>
    <row r="10" spans="1:22">
      <c r="A10" s="2">
        <v>44440</v>
      </c>
      <c r="B10" s="3">
        <v>2.0100000000000001E-3</v>
      </c>
      <c r="C10" s="3">
        <v>-2.2349999999999998E-2</v>
      </c>
      <c r="D10" s="3">
        <v>9.0090000000000003E-2</v>
      </c>
      <c r="E10" s="3">
        <v>2.1989999999999999E-2</v>
      </c>
      <c r="F10" s="3">
        <v>6.28E-3</v>
      </c>
      <c r="G10" s="3">
        <v>3.1649999999999998E-2</v>
      </c>
      <c r="H10" s="3">
        <v>0.10459</v>
      </c>
      <c r="I10" s="3">
        <v>7.6800000000000002E-3</v>
      </c>
      <c r="J10" s="3">
        <v>-6.9080000000000003E-2</v>
      </c>
      <c r="K10" s="3">
        <v>-9.1590000000000005E-2</v>
      </c>
      <c r="M10" s="7" t="e" cm="1" vm="2">
        <f t="array" ref="M10">_xlfn._xlws.PY(2,1)</f>
        <v>#VALUE!</v>
      </c>
    </row>
    <row r="11" spans="1:22">
      <c r="A11" s="2">
        <v>44470</v>
      </c>
      <c r="B11" s="3">
        <v>4.2900000000000004E-3</v>
      </c>
      <c r="C11" s="3">
        <v>-1.9720000000000001E-2</v>
      </c>
      <c r="D11" s="3">
        <v>3.9469999999999998E-2</v>
      </c>
      <c r="E11" s="3">
        <v>9.3699999999999999E-3</v>
      </c>
      <c r="F11" s="3">
        <v>-2.1899999999999999E-2</v>
      </c>
      <c r="G11" s="3">
        <v>-3.6540000000000003E-2</v>
      </c>
      <c r="H11" s="3">
        <v>6.4549999999999996E-2</v>
      </c>
      <c r="I11" s="3">
        <v>5.9000000000000003E-4</v>
      </c>
      <c r="J11" s="3">
        <v>7.2190000000000004E-2</v>
      </c>
      <c r="K11" s="3">
        <v>5.3719999999999997E-2</v>
      </c>
    </row>
    <row r="12" spans="1:22" ht="27.35">
      <c r="A12" s="2">
        <v>44501</v>
      </c>
      <c r="B12" s="3">
        <v>-4.7239999999999997E-2</v>
      </c>
      <c r="C12" s="3">
        <v>-1.2109999999999999E-2</v>
      </c>
      <c r="D12" s="3">
        <v>-6.0900000000000003E-2</v>
      </c>
      <c r="E12" s="3">
        <v>-8.3400000000000002E-3</v>
      </c>
      <c r="F12" s="3">
        <v>2.9099999999999998E-3</v>
      </c>
      <c r="G12" s="3">
        <v>-3.5360000000000003E-2</v>
      </c>
      <c r="H12" s="3">
        <v>3.14E-3</v>
      </c>
      <c r="I12" s="3">
        <v>7.6000000000000004E-4</v>
      </c>
      <c r="J12" s="3">
        <v>2.8479999999999998E-2</v>
      </c>
      <c r="K12" s="3">
        <v>4.5060000000000003E-2</v>
      </c>
      <c r="M12" s="7" t="str" cm="1">
        <f t="array" ref="M12:O22">_xlfn._xlws.PY(3,0)</f>
        <v>Component</v>
      </c>
      <c r="N12" s="7" t="str">
        <v>Explained Variance</v>
      </c>
      <c r="O12" s="7" t="str">
        <v>Cumulative Variance</v>
      </c>
    </row>
    <row r="13" spans="1:22">
      <c r="A13" s="2">
        <v>44531</v>
      </c>
      <c r="B13" s="3">
        <v>2.9479999999999999E-2</v>
      </c>
      <c r="C13" s="3">
        <v>4.5080000000000002E-2</v>
      </c>
      <c r="D13" s="3">
        <v>9.3799999999999994E-2</v>
      </c>
      <c r="E13" s="3">
        <v>7.5990000000000002E-2</v>
      </c>
      <c r="F13" s="3">
        <v>6.5299999999999997E-2</v>
      </c>
      <c r="G13" s="3">
        <v>-3.2890000000000003E-2</v>
      </c>
      <c r="H13" s="3">
        <v>0.13467000000000001</v>
      </c>
      <c r="I13" s="3">
        <v>1.2279999999999999E-2</v>
      </c>
      <c r="J13" s="3">
        <v>3.5290000000000002E-2</v>
      </c>
      <c r="K13" s="3">
        <v>-3.5920000000000001E-2</v>
      </c>
      <c r="M13" s="7" t="str">
        <v>PC1</v>
      </c>
      <c r="N13" s="7">
        <v>0.65976974434388913</v>
      </c>
      <c r="O13" s="7">
        <v>0.65976974434388913</v>
      </c>
    </row>
    <row r="14" spans="1:22">
      <c r="A14" s="2">
        <v>44562</v>
      </c>
      <c r="B14" s="3">
        <v>-1.108E-2</v>
      </c>
      <c r="C14" s="3">
        <v>2.4279999999999999E-2</v>
      </c>
      <c r="D14" s="3">
        <v>0.13225999999999999</v>
      </c>
      <c r="E14" s="3">
        <v>5.3699999999999998E-2</v>
      </c>
      <c r="F14" s="3">
        <v>9.4990000000000005E-2</v>
      </c>
      <c r="G14" s="3">
        <v>1.074E-2</v>
      </c>
      <c r="H14" s="3">
        <v>2.5000000000000001E-2</v>
      </c>
      <c r="I14" s="3">
        <v>4.4400000000000002E-2</v>
      </c>
      <c r="J14" s="3">
        <v>2.98E-2</v>
      </c>
      <c r="K14" s="3">
        <v>8.5800000000000008E-3</v>
      </c>
      <c r="M14" s="7" t="str">
        <v>PC2</v>
      </c>
      <c r="N14" s="7">
        <v>8.2669390325153899E-2</v>
      </c>
      <c r="O14" s="7">
        <v>0.74243913466904299</v>
      </c>
    </row>
    <row r="15" spans="1:22">
      <c r="A15" s="2">
        <v>44593</v>
      </c>
      <c r="B15" s="3">
        <v>-2.1430000000000001E-2</v>
      </c>
      <c r="C15" s="3">
        <v>-6.4820000000000003E-2</v>
      </c>
      <c r="D15" s="3">
        <v>1.95E-2</v>
      </c>
      <c r="E15" s="3">
        <v>1.6000000000000001E-3</v>
      </c>
      <c r="F15" s="3">
        <v>1.976E-2</v>
      </c>
      <c r="G15" s="3">
        <v>-7.45E-3</v>
      </c>
      <c r="H15" s="3">
        <v>-6.8529999999999994E-2</v>
      </c>
      <c r="I15" s="3">
        <v>-2.3390000000000001E-2</v>
      </c>
      <c r="J15" s="3">
        <v>-6.4610000000000001E-2</v>
      </c>
      <c r="K15" s="3">
        <v>-3.925E-2</v>
      </c>
      <c r="M15" s="7" t="str">
        <v>PC3</v>
      </c>
      <c r="N15" s="7">
        <v>7.0252885633523846E-2</v>
      </c>
      <c r="O15" s="7">
        <v>0.81269202030256682</v>
      </c>
    </row>
    <row r="16" spans="1:22">
      <c r="A16" s="2">
        <v>44621</v>
      </c>
      <c r="B16" s="3">
        <v>-0.15534999999999999</v>
      </c>
      <c r="C16" s="3">
        <v>-0.10968</v>
      </c>
      <c r="D16" s="3">
        <v>-0.26073000000000002</v>
      </c>
      <c r="E16" s="3">
        <v>-8.3409999999999998E-2</v>
      </c>
      <c r="F16" s="3">
        <v>-4.9590000000000002E-2</v>
      </c>
      <c r="G16" s="3">
        <v>-7.6799999999999993E-2</v>
      </c>
      <c r="H16" s="3">
        <v>-6.7820000000000005E-2</v>
      </c>
      <c r="I16" s="3">
        <v>-7.8049999999999994E-2</v>
      </c>
      <c r="J16" s="3">
        <v>-3.9759999999999997E-2</v>
      </c>
      <c r="K16" s="3">
        <v>-0.19275</v>
      </c>
      <c r="M16" s="7" t="str">
        <v>PC4</v>
      </c>
      <c r="N16" s="7">
        <v>5.8116940708416671E-2</v>
      </c>
      <c r="O16" s="7">
        <v>0.87080896101098348</v>
      </c>
    </row>
    <row r="17" spans="1:15">
      <c r="A17" s="2">
        <v>44652</v>
      </c>
      <c r="B17" s="3">
        <v>5.2479999999999999E-2</v>
      </c>
      <c r="C17" s="3">
        <v>1.44E-2</v>
      </c>
      <c r="D17" s="3">
        <v>-9.6500000000000006E-3</v>
      </c>
      <c r="E17" s="3">
        <v>9.2899999999999996E-3</v>
      </c>
      <c r="F17" s="3">
        <v>-2.623E-2</v>
      </c>
      <c r="G17" s="3">
        <v>9.4599999999999997E-3</v>
      </c>
      <c r="H17" s="3">
        <v>4.8180000000000001E-2</v>
      </c>
      <c r="I17" s="3">
        <v>-7.9600000000000001E-3</v>
      </c>
      <c r="J17" s="3">
        <v>1.7330000000000002E-2</v>
      </c>
      <c r="K17" s="3">
        <v>-1.6310000000000002E-2</v>
      </c>
      <c r="M17" s="7" t="str">
        <v>PC5</v>
      </c>
      <c r="N17" s="7">
        <v>3.397517931587437E-2</v>
      </c>
      <c r="O17" s="7">
        <v>0.90478414032685783</v>
      </c>
    </row>
    <row r="18" spans="1:15">
      <c r="A18" s="2">
        <v>44682</v>
      </c>
      <c r="B18" s="3">
        <v>-5.4969999999999998E-2</v>
      </c>
      <c r="C18" s="3">
        <v>-5.0779999999999999E-2</v>
      </c>
      <c r="D18" s="3">
        <v>2.402E-2</v>
      </c>
      <c r="E18" s="3">
        <v>-3.9399999999999999E-3</v>
      </c>
      <c r="F18" s="3">
        <v>9.8700000000000003E-3</v>
      </c>
      <c r="G18" s="3">
        <v>2.043E-2</v>
      </c>
      <c r="H18" s="3">
        <v>-9.2670000000000002E-2</v>
      </c>
      <c r="I18" s="3">
        <v>-3.5299999999999998E-2</v>
      </c>
      <c r="J18" s="3">
        <v>-2.3529999999999999E-2</v>
      </c>
      <c r="K18" s="3">
        <v>-6.9819999999999993E-2</v>
      </c>
      <c r="M18" s="7" t="str">
        <v>PC6</v>
      </c>
      <c r="N18" s="7">
        <v>2.9933465125758958E-2</v>
      </c>
      <c r="O18" s="7">
        <v>0.93471760545261684</v>
      </c>
    </row>
    <row r="19" spans="1:15">
      <c r="A19" s="2">
        <v>44713</v>
      </c>
      <c r="B19" s="3">
        <v>7.9900000000000006E-3</v>
      </c>
      <c r="C19" s="3">
        <v>2.0129999999999999E-2</v>
      </c>
      <c r="D19" s="3">
        <v>-1.545E-2</v>
      </c>
      <c r="E19" s="3">
        <v>4.3400000000000001E-3</v>
      </c>
      <c r="F19" s="3">
        <v>2.6380000000000001E-2</v>
      </c>
      <c r="G19" s="3">
        <v>-2.6009999999999998E-2</v>
      </c>
      <c r="H19" s="3">
        <v>2.64E-3</v>
      </c>
      <c r="I19" s="3">
        <v>2.7599999999999999E-3</v>
      </c>
      <c r="J19" s="3">
        <v>4.2630000000000001E-2</v>
      </c>
      <c r="K19" s="3">
        <v>7.7189999999999995E-2</v>
      </c>
      <c r="M19" s="7" t="str">
        <v>PC7</v>
      </c>
      <c r="N19" s="7">
        <v>2.2942006752109268E-2</v>
      </c>
      <c r="O19" s="7">
        <v>0.95765961220472606</v>
      </c>
    </row>
    <row r="20" spans="1:15">
      <c r="A20" s="2">
        <v>44743</v>
      </c>
      <c r="B20" s="3">
        <v>-2.3500000000000001E-3</v>
      </c>
      <c r="C20" s="3">
        <v>-2.2939999999999999E-2</v>
      </c>
      <c r="D20" s="3">
        <v>-1.108E-2</v>
      </c>
      <c r="E20" s="3">
        <v>-1.3509999999999999E-2</v>
      </c>
      <c r="F20" s="3">
        <v>8.0930000000000002E-2</v>
      </c>
      <c r="G20" s="3">
        <v>-7.5219999999999995E-2</v>
      </c>
      <c r="H20" s="3">
        <v>-7.8189999999999996E-2</v>
      </c>
      <c r="I20" s="3">
        <v>-9.8200000000000006E-3</v>
      </c>
      <c r="J20" s="3">
        <v>-4.3299999999999996E-3</v>
      </c>
      <c r="K20" s="3">
        <v>6.5500000000000003E-3</v>
      </c>
      <c r="M20" s="7" t="str">
        <v>PC8</v>
      </c>
      <c r="N20" s="7">
        <v>1.8486013254736131E-2</v>
      </c>
      <c r="O20" s="7">
        <v>0.97614562545946215</v>
      </c>
    </row>
    <row r="21" spans="1:15">
      <c r="A21" s="2">
        <v>44774</v>
      </c>
      <c r="B21" s="3">
        <v>-0.13577</v>
      </c>
      <c r="C21" s="3">
        <v>-0.11681</v>
      </c>
      <c r="D21" s="3">
        <v>-0.10387</v>
      </c>
      <c r="E21" s="3">
        <v>-0.11001</v>
      </c>
      <c r="F21" s="3">
        <v>-0.1618</v>
      </c>
      <c r="G21" s="3">
        <v>-9.5860000000000001E-2</v>
      </c>
      <c r="H21" s="3">
        <v>-0.20566000000000001</v>
      </c>
      <c r="I21" s="3">
        <v>-7.7530000000000002E-2</v>
      </c>
      <c r="J21" s="3">
        <v>-9.7159999999999996E-2</v>
      </c>
      <c r="K21" s="3">
        <v>-6.6259999999999999E-2</v>
      </c>
      <c r="M21" s="7" t="str">
        <v>PC9</v>
      </c>
      <c r="N21" s="7">
        <v>1.348002131685353E-2</v>
      </c>
      <c r="O21" s="7">
        <v>0.9896256467763157</v>
      </c>
    </row>
    <row r="22" spans="1:15">
      <c r="A22" s="2">
        <v>44805</v>
      </c>
      <c r="B22" s="3">
        <v>7.7039999999999997E-2</v>
      </c>
      <c r="C22" s="3">
        <v>7.2959999999999997E-2</v>
      </c>
      <c r="D22" s="3">
        <v>4.1160000000000002E-2</v>
      </c>
      <c r="E22" s="3">
        <v>7.3440000000000005E-2</v>
      </c>
      <c r="F22" s="3">
        <v>3.3119999999999997E-2</v>
      </c>
      <c r="G22" s="3">
        <v>7.4880000000000002E-2</v>
      </c>
      <c r="H22" s="3">
        <v>0.12315</v>
      </c>
      <c r="I22" s="3">
        <v>5.885E-2</v>
      </c>
      <c r="J22" s="3">
        <v>3.0419999999999999E-2</v>
      </c>
      <c r="K22" s="3">
        <v>9.4159999999999994E-2</v>
      </c>
      <c r="M22" s="7" t="str">
        <v>PC10</v>
      </c>
      <c r="N22" s="7">
        <v>1.0374353223684043E-2</v>
      </c>
      <c r="O22" s="7">
        <v>0.99999999999999978</v>
      </c>
    </row>
    <row r="23" spans="1:15">
      <c r="A23" s="2">
        <v>44835</v>
      </c>
      <c r="B23" s="3">
        <v>4.8849999999999998E-2</v>
      </c>
      <c r="C23" s="3">
        <v>2.249E-2</v>
      </c>
      <c r="D23" s="3">
        <v>1.231E-2</v>
      </c>
      <c r="E23" s="3">
        <v>3.4509999999999999E-2</v>
      </c>
      <c r="F23" s="3">
        <v>-1.702E-2</v>
      </c>
      <c r="G23" s="3">
        <v>8.5599999999999999E-3</v>
      </c>
      <c r="H23" s="3">
        <v>0.12848999999999999</v>
      </c>
      <c r="I23" s="3">
        <v>5.8020000000000002E-2</v>
      </c>
      <c r="J23" s="3">
        <v>3.0540000000000001E-2</v>
      </c>
      <c r="K23" s="3">
        <v>-2.7740000000000001E-2</v>
      </c>
    </row>
    <row r="24" spans="1:15">
      <c r="A24" s="2">
        <v>44866</v>
      </c>
      <c r="B24" s="3">
        <v>1.2199999999999999E-3</v>
      </c>
      <c r="C24" s="3">
        <v>7.0809999999999998E-2</v>
      </c>
      <c r="D24" s="3">
        <v>-8.6639999999999995E-2</v>
      </c>
      <c r="E24" s="3">
        <v>2.1149999999999999E-2</v>
      </c>
      <c r="F24" s="3">
        <v>-4.2180000000000002E-2</v>
      </c>
      <c r="G24" s="3">
        <v>-1.3849999999999999E-2</v>
      </c>
      <c r="H24" s="3">
        <v>-1.6740000000000001E-2</v>
      </c>
      <c r="I24" s="3">
        <v>5.4109999999999998E-2</v>
      </c>
      <c r="J24" s="3">
        <v>0.13231999999999999</v>
      </c>
      <c r="K24" s="3">
        <v>3.9949999999999999E-2</v>
      </c>
      <c r="M24" s="7" t="e" cm="1" vm="3">
        <f t="array" ref="M24">_xlfn._xlws.PY(4,0)</f>
        <v>#VALUE!</v>
      </c>
    </row>
    <row r="25" spans="1:15">
      <c r="A25" s="2">
        <v>44896</v>
      </c>
      <c r="B25" s="3">
        <v>-5.8590000000000003E-2</v>
      </c>
      <c r="C25" s="3">
        <v>-3.1530000000000002E-2</v>
      </c>
      <c r="D25" s="3">
        <v>-0.13722000000000001</v>
      </c>
      <c r="E25" s="3">
        <v>1.8010000000000002E-2</v>
      </c>
      <c r="F25" s="3">
        <v>-9.9779999999999994E-2</v>
      </c>
      <c r="G25" s="3">
        <v>-6.2100000000000002E-2</v>
      </c>
      <c r="H25" s="3">
        <v>-3.6569999999999998E-2</v>
      </c>
      <c r="I25" s="3">
        <v>-5.3519999999999998E-2</v>
      </c>
      <c r="J25" s="3">
        <v>-8.7200000000000003E-3</v>
      </c>
      <c r="K25" s="3">
        <v>-5.0110000000000002E-2</v>
      </c>
    </row>
    <row r="26" spans="1:15">
      <c r="A26" s="2">
        <v>44927</v>
      </c>
      <c r="B26" s="3">
        <v>-2.4559999999999998E-2</v>
      </c>
      <c r="C26" s="3">
        <v>-6.3200000000000006E-2</v>
      </c>
      <c r="D26" s="3">
        <v>-6.0650000000000003E-2</v>
      </c>
      <c r="E26" s="3">
        <v>-7.5020000000000003E-2</v>
      </c>
      <c r="F26" s="3">
        <v>-7.8770000000000007E-2</v>
      </c>
      <c r="G26" s="3">
        <v>-7.0309999999999997E-2</v>
      </c>
      <c r="H26" s="3">
        <v>-8.1100000000000005E-2</v>
      </c>
      <c r="I26" s="3">
        <v>8.4799999999999997E-3</v>
      </c>
      <c r="J26" s="3">
        <v>2.7699999999999999E-2</v>
      </c>
      <c r="K26" s="3">
        <v>-7.9979999999999996E-2</v>
      </c>
    </row>
    <row r="27" spans="1:15">
      <c r="A27" s="2">
        <v>44958</v>
      </c>
      <c r="B27" s="3">
        <v>2.7289999999999998E-2</v>
      </c>
      <c r="C27" s="3">
        <v>-1.9550000000000001E-2</v>
      </c>
      <c r="D27" s="3">
        <v>-6.1749999999999999E-2</v>
      </c>
      <c r="E27" s="3">
        <v>-4.623E-2</v>
      </c>
      <c r="F27" s="3">
        <v>8.2900000000000005E-3</v>
      </c>
      <c r="G27" s="3">
        <v>2.248E-2</v>
      </c>
      <c r="H27" s="3">
        <v>-3.141E-2</v>
      </c>
      <c r="I27" s="3">
        <v>-6.1799999999999997E-3</v>
      </c>
      <c r="J27" s="3">
        <v>-2.1059999999999999E-2</v>
      </c>
      <c r="K27" s="3">
        <v>2.5780000000000001E-2</v>
      </c>
    </row>
    <row r="28" spans="1:15">
      <c r="A28" s="2">
        <v>44986</v>
      </c>
      <c r="B28" s="3">
        <v>-5.4780000000000002E-2</v>
      </c>
      <c r="C28" s="3">
        <v>-3.9399999999999999E-3</v>
      </c>
      <c r="D28" s="3">
        <v>6.6869999999999999E-2</v>
      </c>
      <c r="E28" s="3">
        <v>3.1399999999999997E-2</v>
      </c>
      <c r="F28" s="3">
        <v>4.0499999999999998E-3</v>
      </c>
      <c r="G28" s="3">
        <v>-3.0699999999999998E-3</v>
      </c>
      <c r="H28" s="3">
        <v>-4.2229999999999997E-2</v>
      </c>
      <c r="I28" s="3">
        <v>-6.6049999999999998E-2</v>
      </c>
      <c r="J28" s="3">
        <v>-4.8160000000000001E-2</v>
      </c>
      <c r="K28" s="3">
        <v>-2.0590000000000001E-2</v>
      </c>
    </row>
    <row r="29" spans="1:15">
      <c r="A29" s="2">
        <v>45017</v>
      </c>
      <c r="B29" s="3">
        <v>-4.1900000000000001E-3</v>
      </c>
      <c r="C29" s="3">
        <v>4.478E-2</v>
      </c>
      <c r="D29" s="3">
        <v>-2.3650000000000001E-2</v>
      </c>
      <c r="E29" s="3">
        <v>6.8070000000000006E-2</v>
      </c>
      <c r="F29" s="3">
        <v>0.13469</v>
      </c>
      <c r="G29" s="3">
        <v>4.7200000000000002E-3</v>
      </c>
      <c r="H29" s="3">
        <v>-1.247E-2</v>
      </c>
      <c r="I29" s="3">
        <v>-2.5000000000000001E-4</v>
      </c>
      <c r="J29" s="3">
        <v>2.9860000000000001E-2</v>
      </c>
      <c r="K29" s="3">
        <v>2.427E-2</v>
      </c>
    </row>
    <row r="30" spans="1:15">
      <c r="A30" s="2">
        <v>45047</v>
      </c>
      <c r="B30" s="3">
        <v>-1.248E-2</v>
      </c>
      <c r="C30" s="3">
        <v>-1.227E-2</v>
      </c>
      <c r="D30" s="3">
        <v>-6.2300000000000001E-2</v>
      </c>
      <c r="E30" s="3">
        <v>-4.7699999999999999E-3</v>
      </c>
      <c r="F30" s="3">
        <v>1.321E-2</v>
      </c>
      <c r="G30" s="3">
        <v>-4.2160000000000003E-2</v>
      </c>
      <c r="H30" s="3">
        <v>-3.159E-2</v>
      </c>
      <c r="I30" s="3">
        <v>-6.5939999999999999E-2</v>
      </c>
      <c r="J30" s="3">
        <v>-2.7689999999999999E-2</v>
      </c>
      <c r="K30" s="3">
        <v>-6.4400000000000004E-3</v>
      </c>
    </row>
    <row r="31" spans="1:15">
      <c r="A31" s="2">
        <v>45078</v>
      </c>
      <c r="B31" s="3">
        <v>1.9390000000000001E-2</v>
      </c>
      <c r="C31" s="3">
        <v>0.10543</v>
      </c>
      <c r="D31" s="3">
        <v>2.4219999999999998E-2</v>
      </c>
      <c r="E31" s="3">
        <v>3.7159999999999999E-2</v>
      </c>
      <c r="F31" s="3">
        <v>-1.391E-2</v>
      </c>
      <c r="G31" s="3">
        <v>-2.1129999999999999E-2</v>
      </c>
      <c r="H31" s="3">
        <v>-3.3210000000000003E-2</v>
      </c>
      <c r="I31" s="3">
        <v>-2.4199999999999998E-3</v>
      </c>
      <c r="J31" s="3">
        <v>5.7500000000000002E-2</v>
      </c>
      <c r="K31" s="3">
        <v>2.911E-2</v>
      </c>
    </row>
    <row r="32" spans="1:15">
      <c r="A32" s="2">
        <v>45108</v>
      </c>
      <c r="B32" s="3">
        <v>-5.6299999999999996E-3</v>
      </c>
      <c r="C32" s="3">
        <v>2.2399999999999998E-3</v>
      </c>
      <c r="D32" s="3">
        <v>5.6149999999999999E-2</v>
      </c>
      <c r="E32" s="3">
        <v>-1.3339999999999999E-2</v>
      </c>
      <c r="F32" s="3">
        <v>-5.8599999999999999E-2</v>
      </c>
      <c r="G32" s="3">
        <v>-1.362E-2</v>
      </c>
      <c r="H32" s="3">
        <v>4.2500000000000003E-3</v>
      </c>
      <c r="I32" s="3">
        <v>-9.3399999999999993E-3</v>
      </c>
      <c r="J32" s="3">
        <v>-7.8850000000000003E-2</v>
      </c>
      <c r="K32" s="3">
        <v>-2.52E-2</v>
      </c>
    </row>
    <row r="33" spans="1:15">
      <c r="A33" s="2">
        <v>45139</v>
      </c>
      <c r="B33" s="3">
        <v>0.12614</v>
      </c>
      <c r="C33" s="3">
        <v>0.13281999999999999</v>
      </c>
      <c r="D33" s="3">
        <v>8.3710000000000007E-2</v>
      </c>
      <c r="E33" s="3">
        <v>8.276E-2</v>
      </c>
      <c r="F33" s="3">
        <v>0.15747</v>
      </c>
      <c r="G33" s="3">
        <v>0.13599</v>
      </c>
      <c r="H33" s="3">
        <v>0.12436</v>
      </c>
      <c r="I33" s="3">
        <v>0.12371</v>
      </c>
      <c r="J33" s="3">
        <v>0.17433000000000001</v>
      </c>
      <c r="K33" s="3">
        <v>0.16214000000000001</v>
      </c>
    </row>
    <row r="34" spans="1:15">
      <c r="A34" s="2">
        <v>45170</v>
      </c>
      <c r="B34" s="3">
        <v>-2.6839999999999999E-2</v>
      </c>
      <c r="C34" s="3">
        <v>1.857E-2</v>
      </c>
      <c r="D34" s="3">
        <v>4.4019999999999997E-2</v>
      </c>
      <c r="E34" s="3">
        <v>-5.5199999999999997E-3</v>
      </c>
      <c r="F34" s="3">
        <v>-7.7829999999999996E-2</v>
      </c>
      <c r="G34" s="3">
        <v>-3.696E-2</v>
      </c>
      <c r="H34" s="3">
        <v>-2.92E-2</v>
      </c>
      <c r="I34" s="3">
        <v>5.2100000000000002E-3</v>
      </c>
      <c r="J34" s="3">
        <v>-1.7919999999999998E-2</v>
      </c>
      <c r="K34" s="3">
        <v>-4.8489999999999998E-2</v>
      </c>
    </row>
    <row r="35" spans="1:15">
      <c r="A35" s="2">
        <v>45200</v>
      </c>
      <c r="B35" s="3">
        <v>-3.644E-2</v>
      </c>
      <c r="C35" s="3">
        <v>-2.29E-2</v>
      </c>
      <c r="D35" s="3">
        <v>-5.7500000000000002E-2</v>
      </c>
      <c r="E35" s="3">
        <v>-7.1470000000000006E-2</v>
      </c>
      <c r="F35" s="3">
        <v>4.199E-2</v>
      </c>
      <c r="G35" s="3">
        <v>-2.5049999999999999E-2</v>
      </c>
      <c r="H35" s="3">
        <v>-0.10179000000000001</v>
      </c>
      <c r="I35" s="3">
        <v>-3.6240000000000001E-2</v>
      </c>
      <c r="J35" s="3">
        <v>-5.9209999999999999E-2</v>
      </c>
      <c r="K35" s="3">
        <v>-2.3810000000000001E-2</v>
      </c>
    </row>
    <row r="36" spans="1:15">
      <c r="A36" s="2">
        <v>45231</v>
      </c>
      <c r="B36" s="3">
        <v>4.657E-2</v>
      </c>
      <c r="C36" s="3">
        <v>2.6790000000000001E-2</v>
      </c>
      <c r="D36" s="3">
        <v>-4.3099999999999996E-3</v>
      </c>
      <c r="E36" s="3">
        <v>7.5609999999999997E-2</v>
      </c>
      <c r="F36" s="3">
        <v>9.7509999999999999E-2</v>
      </c>
      <c r="G36" s="3">
        <v>1.7579999999999998E-2</v>
      </c>
      <c r="H36" s="3">
        <v>-1.5299999999999999E-3</v>
      </c>
      <c r="I36" s="3">
        <v>4.9169999999999998E-2</v>
      </c>
      <c r="J36" s="3">
        <v>-9.3500000000000007E-3</v>
      </c>
      <c r="K36" s="3">
        <v>5.6189999999999997E-2</v>
      </c>
    </row>
    <row r="37" spans="1:15">
      <c r="A37" s="2">
        <v>45261</v>
      </c>
      <c r="B37" s="3">
        <v>-9.9269999999999997E-2</v>
      </c>
      <c r="C37" s="3">
        <v>-5.0590000000000003E-2</v>
      </c>
      <c r="D37" s="3">
        <v>-8.8340000000000002E-2</v>
      </c>
      <c r="E37" s="3">
        <v>-8.8109999999999994E-2</v>
      </c>
      <c r="F37" s="3">
        <v>-0.11836000000000001</v>
      </c>
      <c r="G37" s="3">
        <v>-9.7739999999999994E-2</v>
      </c>
      <c r="H37" s="3">
        <v>-5.008E-2</v>
      </c>
      <c r="I37" s="3">
        <v>-0.10829999999999999</v>
      </c>
      <c r="J37" s="3">
        <v>-0.14893000000000001</v>
      </c>
      <c r="K37" s="3">
        <v>-9.7460000000000005E-2</v>
      </c>
    </row>
    <row r="38" spans="1:15">
      <c r="A38" s="2">
        <v>45292</v>
      </c>
      <c r="B38" s="3">
        <v>8.3269999999999997E-2</v>
      </c>
      <c r="C38" s="3">
        <v>5.2500000000000003E-3</v>
      </c>
      <c r="D38" s="3">
        <v>4.7199999999999999E-2</v>
      </c>
      <c r="E38" s="3">
        <v>-4.8300000000000001E-3</v>
      </c>
      <c r="F38" s="3">
        <v>-5.3859999999999998E-2</v>
      </c>
      <c r="G38" s="3">
        <v>2.2249999999999999E-2</v>
      </c>
      <c r="H38" s="3">
        <v>6.0909999999999999E-2</v>
      </c>
      <c r="I38" s="3">
        <v>2.5020000000000001E-2</v>
      </c>
      <c r="J38" s="3">
        <v>6.0159999999999998E-2</v>
      </c>
      <c r="K38" s="3">
        <v>4.0489999999999998E-2</v>
      </c>
    </row>
    <row r="39" spans="1:15">
      <c r="A39" s="2">
        <v>45323</v>
      </c>
      <c r="B39" s="3">
        <v>-5.475E-2</v>
      </c>
      <c r="C39" s="3">
        <v>-6.8830000000000002E-2</v>
      </c>
      <c r="D39" s="3">
        <v>-0.11557000000000001</v>
      </c>
      <c r="E39" s="3">
        <v>-8.1030000000000005E-2</v>
      </c>
      <c r="F39" s="3">
        <v>-5.7600000000000004E-3</v>
      </c>
      <c r="G39" s="3">
        <v>-9.3179999999999999E-2</v>
      </c>
      <c r="H39" s="3">
        <v>-0.12447999999999999</v>
      </c>
      <c r="I39" s="3">
        <v>-3.1519999999999999E-2</v>
      </c>
      <c r="J39" s="3">
        <v>-5.7619999999999998E-2</v>
      </c>
      <c r="K39" s="3">
        <v>-0.11118</v>
      </c>
    </row>
    <row r="40" spans="1:15">
      <c r="A40" s="2">
        <v>45352</v>
      </c>
      <c r="B40" s="3">
        <v>-8.3059999999999995E-2</v>
      </c>
      <c r="C40" s="3">
        <v>-5.5149999999999998E-2</v>
      </c>
      <c r="D40" s="3">
        <v>-5.6689999999999997E-2</v>
      </c>
      <c r="E40" s="3">
        <v>-3.0779999999999998E-2</v>
      </c>
      <c r="F40" s="3">
        <v>-5.731E-2</v>
      </c>
      <c r="G40" s="3">
        <v>-5.9610000000000003E-2</v>
      </c>
      <c r="H40" s="3">
        <v>-4.1300000000000003E-2</v>
      </c>
      <c r="I40" s="3">
        <v>-7.1389999999999995E-2</v>
      </c>
      <c r="J40" s="3">
        <v>-9.4570000000000001E-2</v>
      </c>
      <c r="K40" s="3">
        <v>-1.495E-2</v>
      </c>
    </row>
    <row r="41" spans="1:15">
      <c r="A41" s="2">
        <v>45383</v>
      </c>
      <c r="B41" s="3">
        <v>3.3730000000000003E-2</v>
      </c>
      <c r="C41" s="3">
        <v>1.499E-2</v>
      </c>
      <c r="D41" s="3">
        <v>-3.3899999999999998E-3</v>
      </c>
      <c r="E41" s="3">
        <v>-9.2200000000000008E-3</v>
      </c>
      <c r="F41" s="3">
        <v>7.5600000000000001E-2</v>
      </c>
      <c r="G41" s="3">
        <v>-2.3689999999999999E-2</v>
      </c>
      <c r="H41" s="3">
        <v>5.6300000000000003E-2</v>
      </c>
      <c r="I41" s="3">
        <v>3.9370000000000002E-2</v>
      </c>
      <c r="J41" s="3">
        <v>-4.0969999999999999E-2</v>
      </c>
      <c r="K41" s="3">
        <v>6.1500000000000001E-3</v>
      </c>
    </row>
    <row r="42" spans="1:15">
      <c r="A42" s="2">
        <v>45413</v>
      </c>
      <c r="B42" s="3">
        <v>-1.9720000000000001E-2</v>
      </c>
      <c r="C42" s="3">
        <v>6.7680000000000004E-2</v>
      </c>
      <c r="D42" s="3">
        <v>5.8300000000000001E-3</v>
      </c>
      <c r="E42" s="3">
        <v>-2.7609999999999999E-2</v>
      </c>
      <c r="F42" s="3">
        <v>-7.8979999999999995E-2</v>
      </c>
      <c r="G42" s="3">
        <v>6.4509999999999998E-2</v>
      </c>
      <c r="H42" s="3">
        <v>-0.10763</v>
      </c>
      <c r="I42" s="3">
        <v>1.8859999999999998E-2</v>
      </c>
      <c r="J42" s="3">
        <v>-1.635E-2</v>
      </c>
      <c r="K42" s="3">
        <v>-1.7260000000000001E-2</v>
      </c>
    </row>
    <row r="43" spans="1:15">
      <c r="A43" s="2">
        <v>45444</v>
      </c>
      <c r="B43" s="3">
        <v>3.2059999999999998E-2</v>
      </c>
      <c r="C43" s="3">
        <v>-3.866E-2</v>
      </c>
      <c r="D43" s="3">
        <v>4.0300000000000002E-2</v>
      </c>
      <c r="E43" s="3">
        <v>1.6930000000000001E-2</v>
      </c>
      <c r="F43" s="3">
        <v>-2.3619999999999999E-2</v>
      </c>
      <c r="G43" s="3">
        <v>7.8200000000000006E-3</v>
      </c>
      <c r="H43" s="3">
        <v>3.5999999999999997E-2</v>
      </c>
      <c r="I43" s="3">
        <v>-3.2100000000000002E-3</v>
      </c>
      <c r="J43" s="3">
        <v>7.0999999999999994E-2</v>
      </c>
      <c r="K43" s="3">
        <v>4.2639999999999997E-2</v>
      </c>
    </row>
    <row r="44" spans="1:15">
      <c r="A44" s="2">
        <v>45474</v>
      </c>
      <c r="B44" s="3">
        <v>3.2439999999999997E-2</v>
      </c>
      <c r="C44" s="3">
        <v>1.533E-2</v>
      </c>
      <c r="D44" s="3">
        <v>7.3459999999999998E-2</v>
      </c>
      <c r="E44" s="3">
        <v>6.4599999999999996E-3</v>
      </c>
      <c r="F44" s="3">
        <v>-4.5999999999999999E-3</v>
      </c>
      <c r="G44" s="3">
        <v>-2.384E-2</v>
      </c>
      <c r="H44" s="3">
        <v>-4.6179999999999999E-2</v>
      </c>
      <c r="I44" s="3">
        <v>1.498E-2</v>
      </c>
      <c r="J44" s="3">
        <v>-1.529E-2</v>
      </c>
      <c r="K44" s="3">
        <v>-2.9020000000000001E-2</v>
      </c>
    </row>
    <row r="45" spans="1:15">
      <c r="A45" s="2">
        <v>45505</v>
      </c>
      <c r="B45" s="3">
        <v>-4.6120000000000001E-2</v>
      </c>
      <c r="C45" s="3">
        <v>-5.9209999999999999E-2</v>
      </c>
      <c r="D45" s="3">
        <v>-9.604E-2</v>
      </c>
      <c r="E45" s="3">
        <v>-4.419E-2</v>
      </c>
      <c r="F45" s="3">
        <v>-2.6579999999999999E-2</v>
      </c>
      <c r="G45" s="3">
        <v>-1.4880000000000001E-2</v>
      </c>
      <c r="H45" s="3">
        <v>3.1099999999999999E-3</v>
      </c>
      <c r="I45" s="3">
        <v>4.3099999999999999E-2</v>
      </c>
      <c r="J45" s="3">
        <v>-8.6239999999999997E-2</v>
      </c>
      <c r="K45" s="3">
        <v>-7.5609999999999997E-2</v>
      </c>
      <c r="M45" s="7" t="str" cm="1">
        <f t="array" ref="M45:O50">_xlfn._xlws.PY(5,0)</f>
        <v>PC1</v>
      </c>
      <c r="N45" s="7" t="str">
        <v>PC2</v>
      </c>
      <c r="O45" s="7" t="str">
        <v>PC3</v>
      </c>
    </row>
    <row r="46" spans="1:15">
      <c r="A46" s="2">
        <v>45536</v>
      </c>
      <c r="B46" s="3">
        <v>-2.9020000000000001E-2</v>
      </c>
      <c r="C46" s="3">
        <v>-6.4329999999999998E-2</v>
      </c>
      <c r="D46" s="3">
        <v>3.1559999999999998E-2</v>
      </c>
      <c r="E46" s="3">
        <v>-7.7249999999999999E-2</v>
      </c>
      <c r="F46" s="3">
        <v>-8.6790000000000006E-2</v>
      </c>
      <c r="G46" s="3">
        <v>-5.638E-2</v>
      </c>
      <c r="H46" s="3">
        <v>-0.10566</v>
      </c>
      <c r="I46" s="3">
        <v>-3.7190000000000001E-2</v>
      </c>
      <c r="J46" s="3">
        <v>-6.3810000000000006E-2</v>
      </c>
      <c r="K46" s="3">
        <v>-0.11337999999999999</v>
      </c>
      <c r="M46" s="7">
        <v>6.9407608190289405E-2</v>
      </c>
      <c r="N46" s="7">
        <v>-3.3466883176403041E-2</v>
      </c>
      <c r="O46" s="7">
        <v>-1.5865373325221852E-3</v>
      </c>
    </row>
    <row r="47" spans="1:15">
      <c r="A47" s="2">
        <v>45566</v>
      </c>
      <c r="B47" s="3">
        <v>1.41E-3</v>
      </c>
      <c r="C47" s="3">
        <v>1.6920000000000001E-2</v>
      </c>
      <c r="D47" s="3">
        <v>-0.10816000000000001</v>
      </c>
      <c r="E47" s="3">
        <v>-4.8000000000000001E-4</v>
      </c>
      <c r="F47" s="3">
        <v>2.1919999999999999E-2</v>
      </c>
      <c r="G47" s="3">
        <v>-1.5730000000000001E-2</v>
      </c>
      <c r="H47" s="3">
        <v>-0.11441999999999999</v>
      </c>
      <c r="I47" s="3">
        <v>-2.7699999999999999E-3</v>
      </c>
      <c r="J47" s="3">
        <v>-1.7579999999999998E-2</v>
      </c>
      <c r="K47" s="3">
        <v>1.2659999999999999E-2</v>
      </c>
      <c r="M47" s="7">
        <v>-3.6829660551438444E-2</v>
      </c>
      <c r="N47" s="7">
        <v>2.2427194525448065E-2</v>
      </c>
      <c r="O47" s="7">
        <v>-8.7847095855160012E-2</v>
      </c>
    </row>
    <row r="48" spans="1:15">
      <c r="A48" s="2">
        <v>45597</v>
      </c>
      <c r="B48" s="3">
        <v>6.0659999999999999E-2</v>
      </c>
      <c r="C48" s="3">
        <v>3.279E-2</v>
      </c>
      <c r="D48" s="3">
        <v>5.4179999999999999E-2</v>
      </c>
      <c r="E48" s="3">
        <v>-1.626E-2</v>
      </c>
      <c r="F48" s="3">
        <v>-1.25E-3</v>
      </c>
      <c r="G48" s="3">
        <v>5.527E-2</v>
      </c>
      <c r="H48" s="3">
        <v>-3.9019999999999999E-2</v>
      </c>
      <c r="I48" s="3">
        <v>1.0070000000000001E-2</v>
      </c>
      <c r="J48" s="3">
        <v>-5.9720000000000002E-2</v>
      </c>
      <c r="K48" s="3">
        <v>2.5000000000000001E-3</v>
      </c>
      <c r="M48" s="7">
        <v>1.2935060031162187E-2</v>
      </c>
      <c r="N48" s="7">
        <v>-2.5532741672465734E-2</v>
      </c>
      <c r="O48" s="7">
        <v>-5.6186385267088843E-2</v>
      </c>
    </row>
    <row r="49" spans="1:19">
      <c r="A49" s="2">
        <v>45627</v>
      </c>
      <c r="B49" s="3">
        <v>0.11860999999999999</v>
      </c>
      <c r="C49" s="3">
        <v>2.9010000000000001E-2</v>
      </c>
      <c r="D49" s="3">
        <v>0.10942</v>
      </c>
      <c r="E49" s="3">
        <v>5.9300000000000004E-3</v>
      </c>
      <c r="F49" s="3">
        <v>6.1379999999999997E-2</v>
      </c>
      <c r="G49" s="3">
        <v>7.9200000000000007E-2</v>
      </c>
      <c r="H49" s="3">
        <v>6.6680000000000003E-2</v>
      </c>
      <c r="I49" s="3">
        <v>2.3199999999999998E-2</v>
      </c>
      <c r="J49" s="3">
        <v>5.5350000000000003E-2</v>
      </c>
      <c r="K49" s="3">
        <v>0.12417</v>
      </c>
      <c r="M49" s="7">
        <v>0.17644134267608283</v>
      </c>
      <c r="N49" s="7">
        <v>9.7548423223831737E-3</v>
      </c>
      <c r="O49" s="7">
        <v>9.5473077504437866E-3</v>
      </c>
    </row>
    <row r="50" spans="1:19">
      <c r="A50" s="2">
        <v>45658</v>
      </c>
      <c r="B50" s="3">
        <v>2.494E-2</v>
      </c>
      <c r="C50" s="3">
        <v>1.1270000000000001E-2</v>
      </c>
      <c r="D50" s="3">
        <v>5.7340000000000002E-2</v>
      </c>
      <c r="E50" s="3">
        <v>4.3400000000000001E-3</v>
      </c>
      <c r="F50" s="3">
        <v>4.301E-2</v>
      </c>
      <c r="G50" s="3">
        <v>1.401E-2</v>
      </c>
      <c r="H50" s="3">
        <v>5.0970000000000001E-2</v>
      </c>
      <c r="I50" s="3">
        <v>4.3619999999999999E-2</v>
      </c>
      <c r="J50" s="3">
        <v>2.223E-2</v>
      </c>
      <c r="K50" s="3">
        <v>-3.9019999999999999E-2</v>
      </c>
      <c r="M50" s="7">
        <v>2.8607511606480999E-2</v>
      </c>
      <c r="N50" s="7">
        <v>-3.786645662483281E-2</v>
      </c>
      <c r="O50" s="7">
        <v>-2.5768256876468956E-2</v>
      </c>
    </row>
    <row r="51" spans="1:19">
      <c r="A51" s="2">
        <v>45689</v>
      </c>
      <c r="B51" s="3">
        <v>-9.0969999999999995E-2</v>
      </c>
      <c r="C51" s="3">
        <v>-4.5100000000000001E-2</v>
      </c>
      <c r="D51" s="3">
        <v>-0.11877</v>
      </c>
      <c r="E51" s="3">
        <v>-7.7119999999999994E-2</v>
      </c>
      <c r="F51" s="3">
        <v>-4.9360000000000001E-2</v>
      </c>
      <c r="G51" s="3">
        <v>-7.9579999999999998E-2</v>
      </c>
      <c r="H51" s="3">
        <v>-0.12350999999999999</v>
      </c>
      <c r="I51" s="3">
        <v>-7.0940000000000003E-2</v>
      </c>
      <c r="J51" s="3">
        <v>-3.4909999999999997E-2</v>
      </c>
      <c r="K51" s="3">
        <v>-9.4299999999999991E-3</v>
      </c>
    </row>
    <row r="52" spans="1:19">
      <c r="A52" s="2">
        <v>45717</v>
      </c>
      <c r="B52" s="3">
        <v>-4.7480000000000001E-2</v>
      </c>
      <c r="C52" s="3">
        <v>-3.5589999999999997E-2</v>
      </c>
      <c r="D52" s="3">
        <v>-5.3089999999999998E-2</v>
      </c>
      <c r="E52" s="3">
        <v>-1.4109999999999999E-2</v>
      </c>
      <c r="F52" s="3">
        <v>-1.8000000000000001E-4</v>
      </c>
      <c r="G52" s="3">
        <v>-3.134E-2</v>
      </c>
      <c r="H52" s="3">
        <v>-5.4999999999999997E-3</v>
      </c>
      <c r="I52" s="3">
        <v>-8.6199999999999992E-3</v>
      </c>
      <c r="J52" s="3">
        <v>3.9359999999999999E-2</v>
      </c>
      <c r="K52" s="3">
        <v>-2.4920000000000001E-2</v>
      </c>
    </row>
    <row r="53" spans="1:19">
      <c r="A53" s="2">
        <v>45748</v>
      </c>
      <c r="B53" s="3">
        <v>-3.1050000000000001E-2</v>
      </c>
      <c r="C53" s="3">
        <v>-5.5000000000000003E-4</v>
      </c>
      <c r="D53" s="3">
        <v>-3.3250000000000002E-2</v>
      </c>
      <c r="E53" s="3">
        <v>5.2350000000000001E-2</v>
      </c>
      <c r="F53" s="3">
        <v>-6.3589999999999994E-2</v>
      </c>
      <c r="G53" s="3">
        <v>-7.51E-2</v>
      </c>
      <c r="H53" s="3">
        <v>-0.10659</v>
      </c>
      <c r="I53" s="3">
        <v>-1.6660000000000001E-2</v>
      </c>
      <c r="J53" s="3">
        <v>3.8859999999999999E-2</v>
      </c>
      <c r="K53" s="3">
        <v>-1.0120000000000001E-2</v>
      </c>
      <c r="M53" s="7" t="str" cm="1">
        <f t="array" ref="M53:P58">_xlfn._xlws.PY(6,0)</f>
        <v>Date</v>
      </c>
      <c r="N53" s="7" t="str">
        <v>PC1</v>
      </c>
      <c r="O53" s="7" t="str">
        <v>PC2</v>
      </c>
      <c r="P53" s="7" t="str">
        <v>PC3</v>
      </c>
    </row>
    <row r="54" spans="1:19">
      <c r="A54" s="2">
        <v>45778</v>
      </c>
      <c r="B54" s="3">
        <v>-1.9650000000000001E-2</v>
      </c>
      <c r="C54" s="3">
        <v>-1.4670000000000001E-2</v>
      </c>
      <c r="D54" s="3">
        <v>-5.1029999999999999E-2</v>
      </c>
      <c r="E54" s="3">
        <v>1.7149999999999999E-2</v>
      </c>
      <c r="F54" s="3">
        <v>-9.5210000000000003E-2</v>
      </c>
      <c r="G54" s="3">
        <v>-6.1089999999999998E-2</v>
      </c>
      <c r="H54" s="3">
        <v>-2.0580000000000001E-2</v>
      </c>
      <c r="I54" s="3">
        <v>-7.7999999999999999E-4</v>
      </c>
      <c r="J54" s="3">
        <v>-2.6030000000000001E-2</v>
      </c>
      <c r="K54" s="3">
        <v>-3.6049999999999999E-2</v>
      </c>
      <c r="M54" s="8" vm="4">
        <v>44197</v>
      </c>
      <c r="N54" s="7">
        <v>6.9407608190289405E-2</v>
      </c>
      <c r="O54" s="7">
        <v>-3.3466883176403041E-2</v>
      </c>
      <c r="P54" s="7">
        <v>-1.5865373325221852E-3</v>
      </c>
    </row>
    <row r="55" spans="1:19">
      <c r="A55" s="2">
        <v>45809</v>
      </c>
      <c r="B55" s="3">
        <v>0.10727</v>
      </c>
      <c r="C55" s="3">
        <v>6.991E-2</v>
      </c>
      <c r="D55" s="3">
        <v>0.18679999999999999</v>
      </c>
      <c r="E55" s="3">
        <v>9.8019999999999996E-2</v>
      </c>
      <c r="F55" s="3">
        <v>0.18653</v>
      </c>
      <c r="G55" s="3">
        <v>0.13458999999999999</v>
      </c>
      <c r="H55" s="3">
        <v>5.3929999999999999E-2</v>
      </c>
      <c r="I55" s="3">
        <v>7.2859999999999994E-2</v>
      </c>
      <c r="J55" s="3">
        <v>6.4100000000000004E-2</v>
      </c>
      <c r="K55" s="3">
        <v>0.12578</v>
      </c>
      <c r="M55" s="8" vm="5">
        <v>44228</v>
      </c>
      <c r="N55" s="7">
        <v>-3.6829660551438444E-2</v>
      </c>
      <c r="O55" s="7">
        <v>2.2427194525448065E-2</v>
      </c>
      <c r="P55" s="7">
        <v>-8.7847095855160012E-2</v>
      </c>
    </row>
    <row r="56" spans="1:19">
      <c r="A56" s="2">
        <v>45839</v>
      </c>
      <c r="B56" s="3">
        <v>6.0049999999999999E-2</v>
      </c>
      <c r="C56" s="3">
        <v>0.1008</v>
      </c>
      <c r="D56" s="3">
        <v>8.208E-2</v>
      </c>
      <c r="E56" s="3">
        <v>5.0410000000000003E-2</v>
      </c>
      <c r="F56" s="3">
        <v>7.1760000000000004E-2</v>
      </c>
      <c r="G56" s="3">
        <v>9.597E-2</v>
      </c>
      <c r="H56" s="3">
        <v>1.0330000000000001E-2</v>
      </c>
      <c r="I56" s="3">
        <v>6.4049999999999996E-2</v>
      </c>
      <c r="J56" s="3">
        <v>0.1484</v>
      </c>
      <c r="K56" s="3">
        <v>4.9279999999999997E-2</v>
      </c>
      <c r="M56" s="8" vm="6">
        <v>44256</v>
      </c>
      <c r="N56" s="7">
        <v>1.2935060031162187E-2</v>
      </c>
      <c r="O56" s="7">
        <v>-2.5532741672465734E-2</v>
      </c>
      <c r="P56" s="7">
        <v>-5.6186385267088843E-2</v>
      </c>
    </row>
    <row r="57" spans="1:19">
      <c r="A57" s="2">
        <v>45870</v>
      </c>
      <c r="B57" s="3">
        <v>8.4029999999999994E-2</v>
      </c>
      <c r="C57" s="3">
        <v>6.9430000000000006E-2</v>
      </c>
      <c r="D57" s="3">
        <v>4.3270000000000003E-2</v>
      </c>
      <c r="E57" s="3">
        <v>2.002E-2</v>
      </c>
      <c r="F57" s="3">
        <v>2.9229999999999999E-2</v>
      </c>
      <c r="G57" s="3">
        <v>4.7019999999999999E-2</v>
      </c>
      <c r="H57" s="3">
        <v>6.5680000000000002E-2</v>
      </c>
      <c r="I57" s="3">
        <v>2.9569999999999999E-2</v>
      </c>
      <c r="J57" s="3">
        <v>5.867E-2</v>
      </c>
      <c r="K57" s="3">
        <v>9.9640000000000006E-2</v>
      </c>
      <c r="M57" s="8" vm="7">
        <v>44287</v>
      </c>
      <c r="N57" s="7">
        <v>0.17644134267608283</v>
      </c>
      <c r="O57" s="7">
        <v>9.7548423223831737E-3</v>
      </c>
      <c r="P57" s="7">
        <v>9.5473077504437866E-3</v>
      </c>
    </row>
    <row r="58" spans="1:19">
      <c r="A58" s="2">
        <v>45901</v>
      </c>
      <c r="B58" s="3">
        <v>-2.6370000000000001E-2</v>
      </c>
      <c r="C58" s="3">
        <v>-7.4929999999999997E-2</v>
      </c>
      <c r="D58" s="3">
        <v>1.0630000000000001E-2</v>
      </c>
      <c r="E58" s="3">
        <v>-2.76E-2</v>
      </c>
      <c r="F58" s="3">
        <v>4.8129999999999999E-2</v>
      </c>
      <c r="G58" s="3">
        <v>-7.11E-3</v>
      </c>
      <c r="H58" s="3">
        <v>-7.8799999999999995E-2</v>
      </c>
      <c r="I58" s="3">
        <v>-2.6120000000000001E-2</v>
      </c>
      <c r="J58" s="3">
        <v>-2.4049999999999998E-2</v>
      </c>
      <c r="K58" s="3">
        <v>-2.2970000000000001E-2</v>
      </c>
      <c r="M58" s="8" vm="8">
        <v>44317</v>
      </c>
      <c r="N58" s="7">
        <v>2.8607511606480999E-2</v>
      </c>
      <c r="O58" s="7">
        <v>-3.786645662483281E-2</v>
      </c>
      <c r="P58" s="7">
        <v>-2.5768256876468956E-2</v>
      </c>
    </row>
    <row r="59" spans="1:19">
      <c r="A59" s="2">
        <v>45931</v>
      </c>
      <c r="B59" s="3">
        <v>1.295E-2</v>
      </c>
      <c r="C59" s="3">
        <v>-2.2249999999999999E-2</v>
      </c>
      <c r="D59" s="3">
        <v>-3.3529999999999997E-2</v>
      </c>
      <c r="E59" s="3">
        <v>-4.5710000000000001E-2</v>
      </c>
      <c r="F59" s="3">
        <v>-3.5619999999999999E-2</v>
      </c>
      <c r="G59" s="3">
        <v>-2.1080000000000002E-2</v>
      </c>
      <c r="H59" s="3">
        <v>-6.7750000000000005E-2</v>
      </c>
      <c r="I59" s="3">
        <v>-4.3889999999999998E-2</v>
      </c>
      <c r="J59" s="3">
        <v>-3.8390000000000001E-2</v>
      </c>
      <c r="K59" s="3">
        <v>-3.2410000000000001E-2</v>
      </c>
    </row>
    <row r="60" spans="1:19">
      <c r="A60" s="2">
        <v>45962</v>
      </c>
      <c r="B60" s="3">
        <v>4.5060000000000003E-2</v>
      </c>
      <c r="C60" s="3">
        <v>3.0710000000000001E-2</v>
      </c>
      <c r="D60" s="3">
        <v>0.11776</v>
      </c>
      <c r="E60" s="3">
        <v>6.9339999999999999E-2</v>
      </c>
      <c r="F60" s="3">
        <v>0.12458</v>
      </c>
      <c r="G60" s="3">
        <v>0.14304</v>
      </c>
      <c r="H60" s="3">
        <v>0.12709000000000001</v>
      </c>
      <c r="I60" s="3">
        <v>2.4639999999999999E-2</v>
      </c>
      <c r="J60" s="3">
        <v>6.5460000000000004E-2</v>
      </c>
      <c r="K60" s="3">
        <v>4.7129999999999998E-2</v>
      </c>
      <c r="M60" s="7" t="str" cm="1">
        <f t="array" ref="M60:S64">_xlfn._xlws.PY(7,0)</f>
        <v/>
      </c>
      <c r="N60" s="7" t="str">
        <v>coef</v>
      </c>
      <c r="O60" s="7" t="str">
        <v>std err</v>
      </c>
      <c r="P60" s="7" t="str">
        <v>t</v>
      </c>
      <c r="Q60" s="7" t="str">
        <v>P&gt;|t|</v>
      </c>
      <c r="R60" s="7" t="str">
        <v>[0.025</v>
      </c>
      <c r="S60" s="7" t="str">
        <v>0.975]</v>
      </c>
    </row>
    <row r="61" spans="1:19">
      <c r="A61" s="2">
        <v>45992</v>
      </c>
      <c r="B61" s="3">
        <v>0.15357999999999999</v>
      </c>
      <c r="C61" s="3">
        <v>8.6120000000000002E-2</v>
      </c>
      <c r="D61" s="3">
        <v>0.12944</v>
      </c>
      <c r="E61" s="3">
        <v>4.1140000000000003E-2</v>
      </c>
      <c r="F61" s="3">
        <v>8.702E-2</v>
      </c>
      <c r="G61" s="3">
        <v>0.10066</v>
      </c>
      <c r="H61" s="3">
        <v>4.6379999999999998E-2</v>
      </c>
      <c r="I61" s="3">
        <v>5.9929999999999997E-2</v>
      </c>
      <c r="J61" s="3">
        <v>6.5809999999999994E-2</v>
      </c>
      <c r="K61" s="3">
        <v>7.4490000000000001E-2</v>
      </c>
      <c r="M61" s="7" t="str">
        <v>const</v>
      </c>
      <c r="N61" s="7" t="str">
        <v xml:space="preserve">    0.0069</v>
      </c>
      <c r="O61" s="7" t="str">
        <v xml:space="preserve">    0.004</v>
      </c>
      <c r="P61" s="7" t="str">
        <v xml:space="preserve">    1.863</v>
      </c>
      <c r="Q61" s="7" t="str">
        <v xml:space="preserve"> 0.068</v>
      </c>
      <c r="R61" s="7" t="str">
        <v xml:space="preserve">   -0.001</v>
      </c>
      <c r="S61" s="7" t="str">
        <v xml:space="preserve">    0.014</v>
      </c>
    </row>
    <row r="62" spans="1:19">
      <c r="M62" s="7" t="str">
        <v>PC1</v>
      </c>
      <c r="N62" s="7" t="str">
        <v xml:space="preserve">    0.3359</v>
      </c>
      <c r="O62" s="7" t="str">
        <v xml:space="preserve">    0.023</v>
      </c>
      <c r="P62" s="7" t="str">
        <v xml:space="preserve">   14.641</v>
      </c>
      <c r="Q62" s="7" t="str">
        <v xml:space="preserve"> 0.000</v>
      </c>
      <c r="R62" s="7" t="str">
        <v xml:space="preserve">    0.290</v>
      </c>
      <c r="S62" s="7" t="str">
        <v xml:space="preserve">    0.382</v>
      </c>
    </row>
    <row r="63" spans="1:19">
      <c r="M63" s="7" t="str">
        <v>PC2</v>
      </c>
      <c r="N63" s="7" t="str">
        <v xml:space="preserve">   -0.0358</v>
      </c>
      <c r="O63" s="7" t="str">
        <v xml:space="preserve">    0.065</v>
      </c>
      <c r="P63" s="7" t="str">
        <v xml:space="preserve">   -0.552</v>
      </c>
      <c r="Q63" s="7" t="str">
        <v xml:space="preserve"> 0.583</v>
      </c>
      <c r="R63" s="7" t="str">
        <v xml:space="preserve">   -0.166</v>
      </c>
      <c r="S63" s="7" t="str">
        <v xml:space="preserve">    0.094</v>
      </c>
    </row>
    <row r="64" spans="1:19">
      <c r="M64" s="7" t="str">
        <v>PC3</v>
      </c>
      <c r="N64" s="7" t="str">
        <v xml:space="preserve">   -0.0035</v>
      </c>
      <c r="O64" s="7" t="str">
        <v xml:space="preserve">    0.070</v>
      </c>
      <c r="P64" s="7" t="str">
        <v xml:space="preserve">   -0.050</v>
      </c>
      <c r="Q64" s="7" t="str">
        <v xml:space="preserve"> 0.960</v>
      </c>
      <c r="R64" s="7" t="str">
        <v xml:space="preserve">   -0.144</v>
      </c>
      <c r="S64" s="7" t="str">
        <v xml:space="preserve">    0.137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7"/>
  <cols>
    <col min="1" max="1" width="35.77734375" customWidth="1"/>
    <col min="2" max="2" width="80" customWidth="1"/>
  </cols>
  <sheetData>
    <row r="1" spans="1:2" ht="20">
      <c r="A1" s="4" t="s">
        <v>11</v>
      </c>
    </row>
    <row r="3" spans="1:2">
      <c r="A3" s="5" t="s">
        <v>12</v>
      </c>
      <c r="B3" s="6" t="s">
        <v>13</v>
      </c>
    </row>
    <row r="4" spans="1:2">
      <c r="A4" s="5" t="s">
        <v>14</v>
      </c>
      <c r="B4" s="6" t="s">
        <v>15</v>
      </c>
    </row>
    <row r="5" spans="1:2">
      <c r="A5" s="5" t="s">
        <v>16</v>
      </c>
      <c r="B5" s="6" t="s">
        <v>17</v>
      </c>
    </row>
    <row r="6" spans="1:2">
      <c r="A6" s="5" t="s">
        <v>18</v>
      </c>
      <c r="B6" s="6" t="s">
        <v>19</v>
      </c>
    </row>
    <row r="7" spans="1:2" ht="27.35">
      <c r="A7" s="5" t="s">
        <v>20</v>
      </c>
      <c r="B7" s="6" t="s">
        <v>21</v>
      </c>
    </row>
    <row r="8" spans="1:2">
      <c r="A8" s="5" t="s">
        <v>22</v>
      </c>
      <c r="B8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Returns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2026-06-09T14:02:20Z</dcterms:modified>
</cp:coreProperties>
</file>
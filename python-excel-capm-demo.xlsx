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13_ncr:1_{5F0F0CD7-EA5A-4B90-8457-2452AD8C179B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Price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E9" i="1" s="1" a="1"/>
  <c r="E17" i="1" s="1" a="1"/>
  <c r="E19" i="1" s="1" a="1"/>
  <c r="E37" i="1" s="1" a="1"/>
  <c r="E40" i="1" s="1" a="1"/>
  <c r="E42" i="1" s="1" a="1"/>
  <c r="E53" i="1" s="1" a="1"/>
  <c r="E53" i="1"/>
  <c r="E42" i="1"/>
  <c r="E40" i="1"/>
  <c r="E37" i="1"/>
  <c r="E19" i="1"/>
  <c r="E17" i="1"/>
  <c r="E9" i="1"/>
  <c r="E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cellMetadata count="1">
    <bk>
      <rc t="1" v="0"/>
    </bk>
  </cellMetadata>
  <valueMetadata count="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scipy.stats import norm
import statsmodels.api as sm
prices = xl(%P2%, headers=True)
prices["Date"] = pd.to_datetime(prices["Date"])
prices = prices.set_index("Date").sort_index()
prices.head()</code>
    </pythonScript>
    <pythonScript>
      <code>rtns = np.log(prices[["Market_ETF_Close","TechCo_Close"]]).diff() * 100
rtns = rtns.dropna()
rtns.columns = ["market_rtn","techco_rtn"]
rtns.head()</code>
    </pythonScript>
    <pythonScript>
      <code>X = rtns[["market_rtn"]]
y = rtns["techco_rtn"]
model = sm.OLS(y, X)
results = model.fit()
results.params</code>
    </pythonScript>
    <pythonScript>
      <code>rtns["techco_hat"] = results.predict(X)
fig, ax = plt.subplots(figsize=(7,5))
ax.scatter(rtns["market_rtn"], rtns["techco_rtn"], alpha=.5)
ax.plot(rtns["market_rtn"], rtns["techco_hat"], linewidth=2)
ax.set_xlabel("Market return (%%)")
ax.set_ylabel("TechCo return (%%)")</code>
    </pythonScript>
    <pythonScript>
      <code>summary_df = pd.DataFrame(
    results.summary().tables[1].data[1:],
    columns=results.summary().tables[1].data[0]
)</code>
    </pythonScript>
    <pythonScript>
      <code>def bootstrap_beta(df, x, y, n=2000, seed=42):
    rng = np.random.default_rng(seed)
    betas = []
    for i in range(n):
        sample = df.sample(len(df), replace=True,
                           random_state=rng.integers(1_000_000))
        fit = sm.OLS(sample[y], sample[[x]]).fit()
        betas.append(fit.params[x])
    return pd.Series(betas, name="beta")</code>
    </pythonScript>
    <pythonScript>
      <code>boot_betas = bootstrap_beta(rtns, "market_rtn", "techco_rtn")
boot_betas.describe()</code>
    </pythonScript>
    <pythonScript>
      <code>beta = results.params["market_rtn"]
beta_se = results.bse["market_rtn"]
x = np.linspace(beta - 3 * beta_se, beta + 3 * beta_se, 200)
fig, ax = plt.subplots(figsize=(7,5))
ax.hist(boot_betas, bins=40, density=True, alpha=.6)
ax.plot(x, norm.pdf(x, beta, beta_se), linewidth=2)
ax.set_xlabel("Estimated beta")</code>
    </pythonScript>
  </pythonScripts>
</python>
</file>

<file path=xl/sharedStrings.xml><?xml version="1.0" encoding="utf-8"?>
<sst xmlns="http://schemas.openxmlformats.org/spreadsheetml/2006/main" count="13" uniqueCount="12">
  <si>
    <t>Date</t>
  </si>
  <si>
    <t>Market_ETF_Close</t>
  </si>
  <si>
    <t>TechCo_Close</t>
  </si>
  <si>
    <t>Workbook</t>
  </si>
  <si>
    <t>CAPM practice data</t>
  </si>
  <si>
    <t>Sheet</t>
  </si>
  <si>
    <t>PriceData</t>
  </si>
  <si>
    <t>Table name</t>
  </si>
  <si>
    <t>Purpose</t>
  </si>
  <si>
    <t>Practice Python in Excel workflows for returns, OLS regression, fitted values, and bootstrap beta estimates.</t>
  </si>
  <si>
    <t>Note</t>
  </si>
  <si>
    <t>Data is sample market data for training and demonstration.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</si>
</sst>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6"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440267</xdr:colOff>
      <xdr:row>17</xdr:row>
      <xdr:rowOff>156633</xdr:rowOff>
    </xdr:from>
    <xdr:to>
      <xdr:col>8</xdr:col>
      <xdr:colOff>649438</xdr:colOff>
      <xdr:row>33</xdr:row>
      <xdr:rowOff>148166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9CDE4AC3-5D79-FD00-557D-C3442873470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PriceData!E19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0" y="3280833"/>
          <a:ext cx="3782105" cy="27686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52</xdr:row>
      <xdr:rowOff>0</xdr:rowOff>
    </xdr:from>
    <xdr:to>
      <xdr:col>7</xdr:col>
      <xdr:colOff>634539</xdr:colOff>
      <xdr:row>67</xdr:row>
      <xdr:rowOff>118534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A3DB19E8-2358-F483-4904-F686CC500F7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PriceData!E53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58734" y="9199033"/>
          <a:ext cx="3530138" cy="272203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fb>45293</fb>
    <v>0</v>
  </rv>
  <rv s="0">
    <fb>45294</fb>
    <v>0</v>
  </rv>
  <rv s="0">
    <fb>45295</fb>
    <v>0</v>
  </rv>
  <rv s="0">
    <fb>45296</fb>
    <v>0</v>
  </rv>
  <rv s="0">
    <fb>45299</fb>
    <v>0</v>
  </rv>
  <rv s="0">
    <fb>45300</fb>
    <v>0</v>
  </rv>
  <rv s="1">
    <v>0</v>
    <v>9</v>
    <v>Image generated by Python</v>
  </rv>
  <rv s="0">
    <fb>0</fb>
    <v>1</v>
  </rv>
  <rv s="2">
    <fb>0</fb>
    <v>&lt;class 'NoneType'&gt;</v>
    <v>NoneType</v>
    <v>None</v>
    <v>7</v>
    <v>2</v>
  </rv>
  <rv s="1">
    <v>1</v>
    <v>9</v>
    <v>Image generated by Python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localImage">
    <k n="_rvRel:LocalImageIdentifier" t="i"/>
    <k n="CalcOrigin" t="i"/>
    <k n="Text" t="s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m/d/yyyy"/>
    </x:dxf>
  </dxfs>
  <richProperties>
    <rPr n="NumberFormat" t="s"/>
  </richProperties>
  <richStyles>
    <rSty dxfid="1"/>
    <rSty dxfid="0">
      <rpv i="0">0;-0;"None"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ceData" displayName="PriceData" ref="A1:C261" headerRowDxfId="5" dataDxfId="4" totalsRowDxfId="3">
  <tableColumns count="3">
    <tableColumn id="1" xr3:uid="{00000000-0010-0000-0000-000001000000}" name="Date" dataDxfId="2"/>
    <tableColumn id="2" xr3:uid="{00000000-0010-0000-0000-000002000000}" name="Market_ETF_Close" dataDxfId="1"/>
    <tableColumn id="3" xr3:uid="{00000000-0010-0000-0000-000003000000}" name="TechCo_Cl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1"/>
  <sheetViews>
    <sheetView tabSelected="1" topLeftCell="B56" workbookViewId="0">
      <selection activeCell="B58" sqref="B58"/>
    </sheetView>
  </sheetViews>
  <sheetFormatPr defaultRowHeight="13.7"/>
  <cols>
    <col min="1" max="3" width="15.6640625" style="6" customWidth="1"/>
    <col min="5" max="5" width="9.1640625" bestFit="1" customWidth="1"/>
    <col min="6" max="6" width="16.21875" bestFit="1" customWidth="1"/>
    <col min="7" max="7" width="12.609375" bestFit="1" customWidth="1"/>
  </cols>
  <sheetData>
    <row r="1" spans="1:7" ht="27.35">
      <c r="A1" s="3" t="s">
        <v>0</v>
      </c>
      <c r="B1" s="3" t="s">
        <v>1</v>
      </c>
      <c r="C1" s="3" t="s">
        <v>2</v>
      </c>
      <c r="E1" t="str" cm="1">
        <f t="array" ref="E1:G7">_xlfn._xlws.PY(0,0,PriceData[#All])</f>
        <v/>
      </c>
      <c r="F1" t="str">
        <v>Market_ETF_Close</v>
      </c>
      <c r="G1" t="str">
        <v>TechCo_Close</v>
      </c>
    </row>
    <row r="2" spans="1:7">
      <c r="A2" s="4">
        <v>45293</v>
      </c>
      <c r="B2" s="5">
        <v>100</v>
      </c>
      <c r="C2" s="5">
        <v>75</v>
      </c>
      <c r="E2" t="str">
        <v>Date</v>
      </c>
      <c r="F2" t="str">
        <v/>
      </c>
      <c r="G2" t="str">
        <v/>
      </c>
    </row>
    <row r="3" spans="1:7">
      <c r="A3" s="4">
        <v>45294</v>
      </c>
      <c r="B3" s="5">
        <v>99.57</v>
      </c>
      <c r="C3" s="5">
        <v>73.12</v>
      </c>
      <c r="E3" vm="1">
        <v>45293</v>
      </c>
      <c r="F3">
        <v>100</v>
      </c>
      <c r="G3">
        <v>75</v>
      </c>
    </row>
    <row r="4" spans="1:7">
      <c r="A4" s="4">
        <v>45295</v>
      </c>
      <c r="B4" s="5">
        <v>101.17</v>
      </c>
      <c r="C4" s="5">
        <v>77.23</v>
      </c>
      <c r="E4" vm="2">
        <v>45294</v>
      </c>
      <c r="F4">
        <v>99.57</v>
      </c>
      <c r="G4">
        <v>73.12</v>
      </c>
    </row>
    <row r="5" spans="1:7">
      <c r="A5" s="4">
        <v>45296</v>
      </c>
      <c r="B5" s="5">
        <v>101.76</v>
      </c>
      <c r="C5" s="5">
        <v>78.98</v>
      </c>
      <c r="E5" vm="3">
        <v>45295</v>
      </c>
      <c r="F5">
        <v>101.17</v>
      </c>
      <c r="G5">
        <v>77.23</v>
      </c>
    </row>
    <row r="6" spans="1:7">
      <c r="A6" s="4">
        <v>45299</v>
      </c>
      <c r="B6" s="5">
        <v>103.32</v>
      </c>
      <c r="C6" s="5">
        <v>81.25</v>
      </c>
      <c r="E6" vm="4">
        <v>45296</v>
      </c>
      <c r="F6">
        <v>101.76</v>
      </c>
      <c r="G6">
        <v>78.98</v>
      </c>
    </row>
    <row r="7" spans="1:7">
      <c r="A7" s="4">
        <v>45300</v>
      </c>
      <c r="B7" s="5">
        <v>104.36</v>
      </c>
      <c r="C7" s="5">
        <v>83.38</v>
      </c>
      <c r="E7" vm="5">
        <v>45299</v>
      </c>
      <c r="F7">
        <v>103.32</v>
      </c>
      <c r="G7">
        <v>81.25</v>
      </c>
    </row>
    <row r="8" spans="1:7">
      <c r="A8" s="4">
        <v>45301</v>
      </c>
      <c r="B8" s="5">
        <v>104.11</v>
      </c>
      <c r="C8" s="5">
        <v>81.64</v>
      </c>
    </row>
    <row r="9" spans="1:7">
      <c r="A9" s="4">
        <v>45302</v>
      </c>
      <c r="B9" s="5">
        <v>102.13</v>
      </c>
      <c r="C9" s="5">
        <v>80.459999999999994</v>
      </c>
      <c r="E9" t="str" cm="1">
        <f t="array" ref="E9:G15">_xlfn._xlws.PY(1,0)</f>
        <v/>
      </c>
      <c r="F9" t="str">
        <v>market_rtn</v>
      </c>
      <c r="G9" t="str">
        <v>techco_rtn</v>
      </c>
    </row>
    <row r="10" spans="1:7">
      <c r="A10" s="4">
        <v>45303</v>
      </c>
      <c r="B10" s="5">
        <v>102.71</v>
      </c>
      <c r="C10" s="5">
        <v>80.97</v>
      </c>
      <c r="E10" t="str">
        <v>Date</v>
      </c>
      <c r="F10" t="str">
        <v/>
      </c>
      <c r="G10" t="str">
        <v/>
      </c>
    </row>
    <row r="11" spans="1:7">
      <c r="A11" s="4">
        <v>45306</v>
      </c>
      <c r="B11" s="5">
        <v>100.09</v>
      </c>
      <c r="C11" s="5">
        <v>78.319999999999993</v>
      </c>
      <c r="E11" vm="2">
        <v>45294</v>
      </c>
      <c r="F11" s="7">
        <v>-0.43092715880987953</v>
      </c>
      <c r="G11" s="7">
        <v>-2.5386186390415233</v>
      </c>
    </row>
    <row r="12" spans="1:7">
      <c r="A12" s="4">
        <v>45307</v>
      </c>
      <c r="B12" s="5">
        <v>100.06</v>
      </c>
      <c r="C12" s="5">
        <v>77.38</v>
      </c>
      <c r="E12" vm="3">
        <v>45295</v>
      </c>
      <c r="F12" s="7">
        <v>1.5941355817806091</v>
      </c>
      <c r="G12" s="7">
        <v>5.4686055435277936</v>
      </c>
    </row>
    <row r="13" spans="1:7">
      <c r="A13" s="4">
        <v>45308</v>
      </c>
      <c r="B13" s="5">
        <v>99.23</v>
      </c>
      <c r="C13" s="5">
        <v>78.62</v>
      </c>
      <c r="E13" vm="4">
        <v>45296</v>
      </c>
      <c r="F13" s="7">
        <v>0.58148293740130086</v>
      </c>
      <c r="G13" s="7">
        <v>2.2406673277330924</v>
      </c>
    </row>
    <row r="14" spans="1:7">
      <c r="A14" s="4">
        <v>45309</v>
      </c>
      <c r="B14" s="5">
        <v>100.8</v>
      </c>
      <c r="C14" s="5">
        <v>80.87</v>
      </c>
      <c r="E14" vm="5">
        <v>45299</v>
      </c>
      <c r="F14" s="7">
        <v>1.521386863582741</v>
      </c>
      <c r="G14" s="7">
        <v>2.8336165351342757</v>
      </c>
    </row>
    <row r="15" spans="1:7">
      <c r="A15" s="4">
        <v>45310</v>
      </c>
      <c r="B15" s="5">
        <v>101.19</v>
      </c>
      <c r="C15" s="5">
        <v>80.819999999999993</v>
      </c>
      <c r="E15" vm="6">
        <v>45300</v>
      </c>
      <c r="F15" s="7">
        <v>1.0015492040888141</v>
      </c>
      <c r="G15" s="7">
        <v>2.5877651242804056</v>
      </c>
    </row>
    <row r="16" spans="1:7">
      <c r="A16" s="4">
        <v>45313</v>
      </c>
      <c r="B16" s="5">
        <v>100.82</v>
      </c>
      <c r="C16" s="5">
        <v>81.150000000000006</v>
      </c>
    </row>
    <row r="17" spans="1:6">
      <c r="A17" s="4">
        <v>45314</v>
      </c>
      <c r="B17" s="5">
        <v>99.89</v>
      </c>
      <c r="C17" s="5">
        <v>80.06</v>
      </c>
      <c r="E17" t="str" cm="1">
        <f t="array" ref="E17:F17">_xlfn._xlws.PY(2,0)</f>
        <v>market_rtn</v>
      </c>
      <c r="F17" s="8">
        <v>1.1894246844953897</v>
      </c>
    </row>
    <row r="18" spans="1:6">
      <c r="A18" s="4">
        <v>45315</v>
      </c>
      <c r="B18" s="5">
        <v>101.83</v>
      </c>
      <c r="C18" s="5">
        <v>80.650000000000006</v>
      </c>
    </row>
    <row r="19" spans="1:6">
      <c r="A19" s="4">
        <v>45316</v>
      </c>
      <c r="B19" s="5">
        <v>100.96</v>
      </c>
      <c r="C19" s="5">
        <v>81.569999999999993</v>
      </c>
      <c r="E19" t="e" cm="1" vm="7">
        <f t="array" ref="E19">_xlfn._xlws.PY(3,0)</f>
        <v>#VALUE!</v>
      </c>
    </row>
    <row r="20" spans="1:6">
      <c r="A20" s="4">
        <v>45317</v>
      </c>
      <c r="B20" s="5">
        <v>101.44</v>
      </c>
      <c r="C20" s="5">
        <v>82.22</v>
      </c>
    </row>
    <row r="21" spans="1:6">
      <c r="A21" s="4">
        <v>45320</v>
      </c>
      <c r="B21" s="5">
        <v>100.52</v>
      </c>
      <c r="C21" s="5">
        <v>79.98</v>
      </c>
    </row>
    <row r="22" spans="1:6">
      <c r="A22" s="4">
        <v>45321</v>
      </c>
      <c r="B22" s="5">
        <v>101.96</v>
      </c>
      <c r="C22" s="5">
        <v>78.86</v>
      </c>
    </row>
    <row r="23" spans="1:6">
      <c r="A23" s="4">
        <v>45322</v>
      </c>
      <c r="B23" s="5">
        <v>102.54</v>
      </c>
      <c r="C23" s="5">
        <v>78.87</v>
      </c>
    </row>
    <row r="24" spans="1:6">
      <c r="A24" s="4">
        <v>45323</v>
      </c>
      <c r="B24" s="5">
        <v>102.47</v>
      </c>
      <c r="C24" s="5">
        <v>76.88</v>
      </c>
    </row>
    <row r="25" spans="1:6">
      <c r="A25" s="4">
        <v>45324</v>
      </c>
      <c r="B25" s="5">
        <v>103.57</v>
      </c>
      <c r="C25" s="5">
        <v>78.42</v>
      </c>
    </row>
    <row r="26" spans="1:6">
      <c r="A26" s="4">
        <v>45327</v>
      </c>
      <c r="B26" s="5">
        <v>103.96</v>
      </c>
      <c r="C26" s="5">
        <v>79.180000000000007</v>
      </c>
    </row>
    <row r="27" spans="1:6">
      <c r="A27" s="4">
        <v>45328</v>
      </c>
      <c r="B27" s="5">
        <v>102.41</v>
      </c>
      <c r="C27" s="5">
        <v>77.959999999999994</v>
      </c>
    </row>
    <row r="28" spans="1:6">
      <c r="A28" s="4">
        <v>45329</v>
      </c>
      <c r="B28" s="5">
        <v>103.02</v>
      </c>
      <c r="C28" s="5">
        <v>78.45</v>
      </c>
    </row>
    <row r="29" spans="1:6">
      <c r="A29" s="4">
        <v>45330</v>
      </c>
      <c r="B29" s="5">
        <v>99.4</v>
      </c>
      <c r="C29" s="5">
        <v>75.12</v>
      </c>
    </row>
    <row r="30" spans="1:6">
      <c r="A30" s="4">
        <v>45331</v>
      </c>
      <c r="B30" s="5">
        <v>99.57</v>
      </c>
      <c r="C30" s="5">
        <v>74.27</v>
      </c>
    </row>
    <row r="31" spans="1:6">
      <c r="A31" s="4">
        <v>45334</v>
      </c>
      <c r="B31" s="5">
        <v>99.68</v>
      </c>
      <c r="C31" s="5">
        <v>75.55</v>
      </c>
    </row>
    <row r="32" spans="1:6">
      <c r="A32" s="4">
        <v>45335</v>
      </c>
      <c r="B32" s="5">
        <v>99.62</v>
      </c>
      <c r="C32" s="5">
        <v>76.709999999999994</v>
      </c>
    </row>
    <row r="33" spans="1:11">
      <c r="A33" s="4">
        <v>45336</v>
      </c>
      <c r="B33" s="5">
        <v>99.05</v>
      </c>
      <c r="C33" s="5">
        <v>75.53</v>
      </c>
    </row>
    <row r="34" spans="1:11">
      <c r="A34" s="4">
        <v>45337</v>
      </c>
      <c r="B34" s="5">
        <v>99.39</v>
      </c>
      <c r="C34" s="5">
        <v>75.03</v>
      </c>
    </row>
    <row r="35" spans="1:11">
      <c r="A35" s="4">
        <v>45338</v>
      </c>
      <c r="B35" s="5">
        <v>97.52</v>
      </c>
      <c r="C35" s="5">
        <v>73.680000000000007</v>
      </c>
    </row>
    <row r="36" spans="1:11">
      <c r="A36" s="4">
        <v>45341</v>
      </c>
      <c r="B36" s="5">
        <v>97.56</v>
      </c>
      <c r="C36" s="5">
        <v>74.25</v>
      </c>
    </row>
    <row r="37" spans="1:11">
      <c r="A37" s="4">
        <v>45342</v>
      </c>
      <c r="B37" s="5">
        <v>96.63</v>
      </c>
      <c r="C37" s="5">
        <v>73.040000000000006</v>
      </c>
      <c r="E37" t="str" cm="1">
        <f t="array" ref="E37:K38">_xlfn._xlws.PY(4,0)</f>
        <v/>
      </c>
      <c r="F37" t="str">
        <v>coef</v>
      </c>
      <c r="G37" t="str">
        <v>std err</v>
      </c>
      <c r="H37" t="str">
        <v>t</v>
      </c>
      <c r="I37" t="str">
        <v>P&gt;|t|</v>
      </c>
      <c r="J37" t="str">
        <v>[0.025</v>
      </c>
      <c r="K37" t="str">
        <v>0.975]</v>
      </c>
    </row>
    <row r="38" spans="1:11">
      <c r="A38" s="4">
        <v>45343</v>
      </c>
      <c r="B38" s="5">
        <v>97.22</v>
      </c>
      <c r="C38" s="5">
        <v>73.14</v>
      </c>
      <c r="E38" t="str">
        <v>market_rtn</v>
      </c>
      <c r="F38" t="str">
        <v xml:space="preserve">    1.1894</v>
      </c>
      <c r="G38" t="str">
        <v xml:space="preserve">    0.070</v>
      </c>
      <c r="H38" t="str">
        <v xml:space="preserve">   17.004</v>
      </c>
      <c r="I38" t="str">
        <v xml:space="preserve"> 0.000</v>
      </c>
      <c r="J38" t="str">
        <v xml:space="preserve">    1.052</v>
      </c>
      <c r="K38" t="str">
        <v xml:space="preserve">    1.327</v>
      </c>
    </row>
    <row r="39" spans="1:11">
      <c r="A39" s="4">
        <v>45344</v>
      </c>
      <c r="B39" s="5">
        <v>97.02</v>
      </c>
      <c r="C39" s="5">
        <v>73.17</v>
      </c>
    </row>
    <row r="40" spans="1:11">
      <c r="A40" s="4">
        <v>45345</v>
      </c>
      <c r="B40" s="5">
        <v>96.23</v>
      </c>
      <c r="C40" s="5">
        <v>72.69</v>
      </c>
      <c r="E40" cm="1" vm="8">
        <f t="array" ref="E40">_xlfn._xlws.PY(5,1)</f>
        <v>0</v>
      </c>
    </row>
    <row r="41" spans="1:11">
      <c r="A41" s="4">
        <v>45348</v>
      </c>
      <c r="B41" s="5">
        <v>94.65</v>
      </c>
      <c r="C41" s="5">
        <v>71.72</v>
      </c>
    </row>
    <row r="42" spans="1:11">
      <c r="A42" s="4">
        <v>45349</v>
      </c>
      <c r="B42" s="5">
        <v>97.65</v>
      </c>
      <c r="C42" s="5">
        <v>75</v>
      </c>
      <c r="E42" t="str" cm="1">
        <f t="array" ref="E42:F50">_xlfn._xlws.PY(6,0)</f>
        <v/>
      </c>
      <c r="F42" t="str">
        <v>beta</v>
      </c>
    </row>
    <row r="43" spans="1:11">
      <c r="A43" s="4">
        <v>45350</v>
      </c>
      <c r="B43" s="5">
        <v>97.25</v>
      </c>
      <c r="C43" s="5">
        <v>73.2</v>
      </c>
      <c r="E43" t="str">
        <v>count</v>
      </c>
      <c r="F43">
        <v>2000</v>
      </c>
    </row>
    <row r="44" spans="1:11">
      <c r="A44" s="4">
        <v>45351</v>
      </c>
      <c r="B44" s="5">
        <v>96</v>
      </c>
      <c r="C44" s="5">
        <v>71.86</v>
      </c>
      <c r="E44" t="str">
        <v>mean</v>
      </c>
      <c r="F44" s="7">
        <v>1.1878269121702383</v>
      </c>
    </row>
    <row r="45" spans="1:11">
      <c r="A45" s="4">
        <v>45352</v>
      </c>
      <c r="B45" s="5">
        <v>95.19</v>
      </c>
      <c r="C45" s="5">
        <v>71.58</v>
      </c>
      <c r="E45" t="str">
        <v>std</v>
      </c>
      <c r="F45" s="7">
        <v>7.3172547663813953E-2</v>
      </c>
    </row>
    <row r="46" spans="1:11">
      <c r="A46" s="4">
        <v>45355</v>
      </c>
      <c r="B46" s="5">
        <v>95.39</v>
      </c>
      <c r="C46" s="5">
        <v>72.430000000000007</v>
      </c>
      <c r="E46" t="str">
        <v>min</v>
      </c>
      <c r="F46" s="7">
        <v>0.86718532635466605</v>
      </c>
    </row>
    <row r="47" spans="1:11">
      <c r="A47" s="4">
        <v>45356</v>
      </c>
      <c r="B47" s="5">
        <v>95.19</v>
      </c>
      <c r="C47" s="5">
        <v>72.95</v>
      </c>
      <c r="E47" t="str">
        <v>25%</v>
      </c>
      <c r="F47" s="7">
        <v>1.1374012857699654</v>
      </c>
    </row>
    <row r="48" spans="1:11">
      <c r="A48" s="4">
        <v>45357</v>
      </c>
      <c r="B48" s="5">
        <v>96.74</v>
      </c>
      <c r="C48" s="5">
        <v>73.569999999999993</v>
      </c>
      <c r="E48" t="str">
        <v>50%</v>
      </c>
      <c r="F48" s="7">
        <v>1.1885858694989979</v>
      </c>
    </row>
    <row r="49" spans="1:6">
      <c r="A49" s="4">
        <v>45358</v>
      </c>
      <c r="B49" s="5">
        <v>96.66</v>
      </c>
      <c r="C49" s="5">
        <v>73.39</v>
      </c>
      <c r="E49" t="str">
        <v>75%</v>
      </c>
      <c r="F49" s="7">
        <v>1.236923720916602</v>
      </c>
    </row>
    <row r="50" spans="1:6">
      <c r="A50" s="4">
        <v>45359</v>
      </c>
      <c r="B50" s="5">
        <v>96.61</v>
      </c>
      <c r="C50" s="5">
        <v>74.37</v>
      </c>
      <c r="E50" t="str">
        <v>max</v>
      </c>
      <c r="F50" s="7">
        <v>1.4183507229486714</v>
      </c>
    </row>
    <row r="51" spans="1:6">
      <c r="A51" s="4">
        <v>45362</v>
      </c>
      <c r="B51" s="5">
        <v>96.27</v>
      </c>
      <c r="C51" s="5">
        <v>73.290000000000006</v>
      </c>
    </row>
    <row r="52" spans="1:6">
      <c r="A52" s="4">
        <v>45363</v>
      </c>
      <c r="B52" s="5">
        <v>94.85</v>
      </c>
      <c r="C52" s="5">
        <v>70.760000000000005</v>
      </c>
    </row>
    <row r="53" spans="1:6">
      <c r="A53" s="4">
        <v>45364</v>
      </c>
      <c r="B53" s="5">
        <v>94.79</v>
      </c>
      <c r="C53" s="5">
        <v>71.48</v>
      </c>
      <c r="E53" t="e" cm="1" vm="9">
        <f t="array" ref="E53">_xlfn._xlws.PY(7,0)</f>
        <v>#VALUE!</v>
      </c>
    </row>
    <row r="54" spans="1:6">
      <c r="A54" s="4">
        <v>45365</v>
      </c>
      <c r="B54" s="5">
        <v>94.89</v>
      </c>
      <c r="C54" s="5">
        <v>70.89</v>
      </c>
    </row>
    <row r="55" spans="1:6">
      <c r="A55" s="4">
        <v>45366</v>
      </c>
      <c r="B55" s="5">
        <v>94.75</v>
      </c>
      <c r="C55" s="5">
        <v>70.02</v>
      </c>
    </row>
    <row r="56" spans="1:6">
      <c r="A56" s="4">
        <v>45369</v>
      </c>
      <c r="B56" s="5">
        <v>95.9</v>
      </c>
      <c r="C56" s="5">
        <v>71.14</v>
      </c>
    </row>
    <row r="57" spans="1:6">
      <c r="A57" s="4">
        <v>45370</v>
      </c>
      <c r="B57" s="5">
        <v>97.56</v>
      </c>
      <c r="C57" s="5">
        <v>73.19</v>
      </c>
    </row>
    <row r="58" spans="1:6">
      <c r="A58" s="4">
        <v>45371</v>
      </c>
      <c r="B58" s="5">
        <v>98.32</v>
      </c>
      <c r="C58" s="5">
        <v>73.05</v>
      </c>
    </row>
    <row r="59" spans="1:6">
      <c r="A59" s="4">
        <v>45372</v>
      </c>
      <c r="B59" s="5">
        <v>98.94</v>
      </c>
      <c r="C59" s="5">
        <v>73.27</v>
      </c>
    </row>
    <row r="60" spans="1:6">
      <c r="A60" s="4">
        <v>45373</v>
      </c>
      <c r="B60" s="5">
        <v>98.38</v>
      </c>
      <c r="C60" s="5">
        <v>72.959999999999994</v>
      </c>
    </row>
    <row r="61" spans="1:6">
      <c r="A61" s="4">
        <v>45376</v>
      </c>
      <c r="B61" s="5">
        <v>100.28</v>
      </c>
      <c r="C61" s="5">
        <v>75.099999999999994</v>
      </c>
    </row>
    <row r="62" spans="1:6">
      <c r="A62" s="4">
        <v>45377</v>
      </c>
      <c r="B62" s="5">
        <v>102.68</v>
      </c>
      <c r="C62" s="5">
        <v>77.88</v>
      </c>
    </row>
    <row r="63" spans="1:6">
      <c r="A63" s="4">
        <v>45378</v>
      </c>
      <c r="B63" s="5">
        <v>101.17</v>
      </c>
      <c r="C63" s="5">
        <v>76.08</v>
      </c>
    </row>
    <row r="64" spans="1:6">
      <c r="A64" s="4">
        <v>45379</v>
      </c>
      <c r="B64" s="5">
        <v>103.44</v>
      </c>
      <c r="C64" s="5">
        <v>78.7</v>
      </c>
    </row>
    <row r="65" spans="1:3">
      <c r="A65" s="4">
        <v>45380</v>
      </c>
      <c r="B65" s="5">
        <v>103.63</v>
      </c>
      <c r="C65" s="5">
        <v>78.48</v>
      </c>
    </row>
    <row r="66" spans="1:3">
      <c r="A66" s="4">
        <v>45383</v>
      </c>
      <c r="B66" s="5">
        <v>103.92</v>
      </c>
      <c r="C66" s="5">
        <v>79.19</v>
      </c>
    </row>
    <row r="67" spans="1:3">
      <c r="A67" s="4">
        <v>45384</v>
      </c>
      <c r="B67" s="5">
        <v>103.53</v>
      </c>
      <c r="C67" s="5">
        <v>78.84</v>
      </c>
    </row>
    <row r="68" spans="1:3">
      <c r="A68" s="4">
        <v>45385</v>
      </c>
      <c r="B68" s="5">
        <v>103.95</v>
      </c>
      <c r="C68" s="5">
        <v>78.27</v>
      </c>
    </row>
    <row r="69" spans="1:3">
      <c r="A69" s="4">
        <v>45386</v>
      </c>
      <c r="B69" s="5">
        <v>103.76</v>
      </c>
      <c r="C69" s="5">
        <v>77.48</v>
      </c>
    </row>
    <row r="70" spans="1:3">
      <c r="A70" s="4">
        <v>45387</v>
      </c>
      <c r="B70" s="5">
        <v>103.13</v>
      </c>
      <c r="C70" s="5">
        <v>76.180000000000007</v>
      </c>
    </row>
    <row r="71" spans="1:3">
      <c r="A71" s="4">
        <v>45390</v>
      </c>
      <c r="B71" s="5">
        <v>102.52</v>
      </c>
      <c r="C71" s="5">
        <v>74.97</v>
      </c>
    </row>
    <row r="72" spans="1:3">
      <c r="A72" s="4">
        <v>45391</v>
      </c>
      <c r="B72" s="5">
        <v>104.66</v>
      </c>
      <c r="C72" s="5">
        <v>76.73</v>
      </c>
    </row>
    <row r="73" spans="1:3">
      <c r="A73" s="4">
        <v>45392</v>
      </c>
      <c r="B73" s="5">
        <v>105.21</v>
      </c>
      <c r="C73" s="5">
        <v>76.55</v>
      </c>
    </row>
    <row r="74" spans="1:3">
      <c r="A74" s="4">
        <v>45393</v>
      </c>
      <c r="B74" s="5">
        <v>105.49</v>
      </c>
      <c r="C74" s="5">
        <v>77.25</v>
      </c>
    </row>
    <row r="75" spans="1:3">
      <c r="A75" s="4">
        <v>45394</v>
      </c>
      <c r="B75" s="5">
        <v>107.52</v>
      </c>
      <c r="C75" s="5">
        <v>80.709999999999994</v>
      </c>
    </row>
    <row r="76" spans="1:3">
      <c r="A76" s="4">
        <v>45397</v>
      </c>
      <c r="B76" s="5">
        <v>107.11</v>
      </c>
      <c r="C76" s="5">
        <v>82.13</v>
      </c>
    </row>
    <row r="77" spans="1:3">
      <c r="A77" s="4">
        <v>45398</v>
      </c>
      <c r="B77" s="5">
        <v>107.33</v>
      </c>
      <c r="C77" s="5">
        <v>83.61</v>
      </c>
    </row>
    <row r="78" spans="1:3">
      <c r="A78" s="4">
        <v>45399</v>
      </c>
      <c r="B78" s="5">
        <v>107.39</v>
      </c>
      <c r="C78" s="5">
        <v>84.46</v>
      </c>
    </row>
    <row r="79" spans="1:3">
      <c r="A79" s="4">
        <v>45400</v>
      </c>
      <c r="B79" s="5">
        <v>107.41</v>
      </c>
      <c r="C79" s="5">
        <v>83.23</v>
      </c>
    </row>
    <row r="80" spans="1:3">
      <c r="A80" s="4">
        <v>45401</v>
      </c>
      <c r="B80" s="5">
        <v>108.25</v>
      </c>
      <c r="C80" s="5">
        <v>83.78</v>
      </c>
    </row>
    <row r="81" spans="1:3">
      <c r="A81" s="4">
        <v>45404</v>
      </c>
      <c r="B81" s="5">
        <v>108.24</v>
      </c>
      <c r="C81" s="5">
        <v>84.12</v>
      </c>
    </row>
    <row r="82" spans="1:3">
      <c r="A82" s="4">
        <v>45405</v>
      </c>
      <c r="B82" s="5">
        <v>109.01</v>
      </c>
      <c r="C82" s="5">
        <v>87.43</v>
      </c>
    </row>
    <row r="83" spans="1:3">
      <c r="A83" s="4">
        <v>45406</v>
      </c>
      <c r="B83" s="5">
        <v>107.87</v>
      </c>
      <c r="C83" s="5">
        <v>85.95</v>
      </c>
    </row>
    <row r="84" spans="1:3">
      <c r="A84" s="4">
        <v>45407</v>
      </c>
      <c r="B84" s="5">
        <v>106.89</v>
      </c>
      <c r="C84" s="5">
        <v>86.38</v>
      </c>
    </row>
    <row r="85" spans="1:3">
      <c r="A85" s="4">
        <v>45408</v>
      </c>
      <c r="B85" s="5">
        <v>106.69</v>
      </c>
      <c r="C85" s="5">
        <v>85.69</v>
      </c>
    </row>
    <row r="86" spans="1:3">
      <c r="A86" s="4">
        <v>45411</v>
      </c>
      <c r="B86" s="5">
        <v>107.4</v>
      </c>
      <c r="C86" s="5">
        <v>86.55</v>
      </c>
    </row>
    <row r="87" spans="1:3">
      <c r="A87" s="4">
        <v>45412</v>
      </c>
      <c r="B87" s="5">
        <v>108.21</v>
      </c>
      <c r="C87" s="5">
        <v>85.91</v>
      </c>
    </row>
    <row r="88" spans="1:3">
      <c r="A88" s="4">
        <v>45413</v>
      </c>
      <c r="B88" s="5">
        <v>108.38</v>
      </c>
      <c r="C88" s="5">
        <v>86.78</v>
      </c>
    </row>
    <row r="89" spans="1:3">
      <c r="A89" s="4">
        <v>45414</v>
      </c>
      <c r="B89" s="5">
        <v>107.82</v>
      </c>
      <c r="C89" s="5">
        <v>87.61</v>
      </c>
    </row>
    <row r="90" spans="1:3">
      <c r="A90" s="4">
        <v>45415</v>
      </c>
      <c r="B90" s="5">
        <v>107.86</v>
      </c>
      <c r="C90" s="5">
        <v>86.96</v>
      </c>
    </row>
    <row r="91" spans="1:3">
      <c r="A91" s="4">
        <v>45418</v>
      </c>
      <c r="B91" s="5">
        <v>107.52</v>
      </c>
      <c r="C91" s="5">
        <v>87.26</v>
      </c>
    </row>
    <row r="92" spans="1:3">
      <c r="A92" s="4">
        <v>45419</v>
      </c>
      <c r="B92" s="5">
        <v>108.92</v>
      </c>
      <c r="C92" s="5">
        <v>88.21</v>
      </c>
    </row>
    <row r="93" spans="1:3">
      <c r="A93" s="4">
        <v>45420</v>
      </c>
      <c r="B93" s="5">
        <v>109.76</v>
      </c>
      <c r="C93" s="5">
        <v>88.76</v>
      </c>
    </row>
    <row r="94" spans="1:3">
      <c r="A94" s="4">
        <v>45421</v>
      </c>
      <c r="B94" s="5">
        <v>108.81</v>
      </c>
      <c r="C94" s="5">
        <v>86.94</v>
      </c>
    </row>
    <row r="95" spans="1:3">
      <c r="A95" s="4">
        <v>45422</v>
      </c>
      <c r="B95" s="5">
        <v>109.86</v>
      </c>
      <c r="C95" s="5">
        <v>87.56</v>
      </c>
    </row>
    <row r="96" spans="1:3">
      <c r="A96" s="4">
        <v>45425</v>
      </c>
      <c r="B96" s="5">
        <v>110.19</v>
      </c>
      <c r="C96" s="5">
        <v>89.67</v>
      </c>
    </row>
    <row r="97" spans="1:3">
      <c r="A97" s="4">
        <v>45426</v>
      </c>
      <c r="B97" s="5">
        <v>111.57</v>
      </c>
      <c r="C97" s="5">
        <v>90.66</v>
      </c>
    </row>
    <row r="98" spans="1:3">
      <c r="A98" s="4">
        <v>45427</v>
      </c>
      <c r="B98" s="5">
        <v>111.38</v>
      </c>
      <c r="C98" s="5">
        <v>90.85</v>
      </c>
    </row>
    <row r="99" spans="1:3">
      <c r="A99" s="4">
        <v>45428</v>
      </c>
      <c r="B99" s="5">
        <v>108.95</v>
      </c>
      <c r="C99" s="5">
        <v>89.3</v>
      </c>
    </row>
    <row r="100" spans="1:3">
      <c r="A100" s="4">
        <v>45429</v>
      </c>
      <c r="B100" s="5">
        <v>108.22</v>
      </c>
      <c r="C100" s="5">
        <v>89.45</v>
      </c>
    </row>
    <row r="101" spans="1:3">
      <c r="A101" s="4">
        <v>45432</v>
      </c>
      <c r="B101" s="5">
        <v>107.5</v>
      </c>
      <c r="C101" s="5">
        <v>88.48</v>
      </c>
    </row>
    <row r="102" spans="1:3">
      <c r="A102" s="4">
        <v>45433</v>
      </c>
      <c r="B102" s="5">
        <v>108.62</v>
      </c>
      <c r="C102" s="5">
        <v>90.33</v>
      </c>
    </row>
    <row r="103" spans="1:3">
      <c r="A103" s="4">
        <v>45434</v>
      </c>
      <c r="B103" s="5">
        <v>110.96</v>
      </c>
      <c r="C103" s="5">
        <v>92.22</v>
      </c>
    </row>
    <row r="104" spans="1:3">
      <c r="A104" s="4">
        <v>45435</v>
      </c>
      <c r="B104" s="5">
        <v>110.35</v>
      </c>
      <c r="C104" s="5">
        <v>93.33</v>
      </c>
    </row>
    <row r="105" spans="1:3">
      <c r="A105" s="4">
        <v>45436</v>
      </c>
      <c r="B105" s="5">
        <v>111.16</v>
      </c>
      <c r="C105" s="5">
        <v>92.96</v>
      </c>
    </row>
    <row r="106" spans="1:3">
      <c r="A106" s="4">
        <v>45439</v>
      </c>
      <c r="B106" s="5">
        <v>110.72</v>
      </c>
      <c r="C106" s="5">
        <v>93.07</v>
      </c>
    </row>
    <row r="107" spans="1:3">
      <c r="A107" s="4">
        <v>45440</v>
      </c>
      <c r="B107" s="5">
        <v>110.26</v>
      </c>
      <c r="C107" s="5">
        <v>91.15</v>
      </c>
    </row>
    <row r="108" spans="1:3">
      <c r="A108" s="4">
        <v>45441</v>
      </c>
      <c r="B108" s="5">
        <v>110.46</v>
      </c>
      <c r="C108" s="5">
        <v>91.9</v>
      </c>
    </row>
    <row r="109" spans="1:3">
      <c r="A109" s="4">
        <v>45442</v>
      </c>
      <c r="B109" s="5">
        <v>112.16</v>
      </c>
      <c r="C109" s="5">
        <v>94.87</v>
      </c>
    </row>
    <row r="110" spans="1:3">
      <c r="A110" s="4">
        <v>45443</v>
      </c>
      <c r="B110" s="5">
        <v>113.29</v>
      </c>
      <c r="C110" s="5">
        <v>95.17</v>
      </c>
    </row>
    <row r="111" spans="1:3">
      <c r="A111" s="4">
        <v>45446</v>
      </c>
      <c r="B111" s="5">
        <v>111.92</v>
      </c>
      <c r="C111" s="5">
        <v>92.79</v>
      </c>
    </row>
    <row r="112" spans="1:3">
      <c r="A112" s="4">
        <v>45447</v>
      </c>
      <c r="B112" s="5">
        <v>112.76</v>
      </c>
      <c r="C112" s="5">
        <v>94.67</v>
      </c>
    </row>
    <row r="113" spans="1:3">
      <c r="A113" s="4">
        <v>45448</v>
      </c>
      <c r="B113" s="5">
        <v>110.57</v>
      </c>
      <c r="C113" s="5">
        <v>93.18</v>
      </c>
    </row>
    <row r="114" spans="1:3">
      <c r="A114" s="4">
        <v>45449</v>
      </c>
      <c r="B114" s="5">
        <v>111.78</v>
      </c>
      <c r="C114" s="5">
        <v>96.14</v>
      </c>
    </row>
    <row r="115" spans="1:3">
      <c r="A115" s="4">
        <v>45450</v>
      </c>
      <c r="B115" s="5">
        <v>112.85</v>
      </c>
      <c r="C115" s="5">
        <v>98.39</v>
      </c>
    </row>
    <row r="116" spans="1:3">
      <c r="A116" s="4">
        <v>45453</v>
      </c>
      <c r="B116" s="5">
        <v>113.26</v>
      </c>
      <c r="C116" s="5">
        <v>98.56</v>
      </c>
    </row>
    <row r="117" spans="1:3">
      <c r="A117" s="4">
        <v>45454</v>
      </c>
      <c r="B117" s="5">
        <v>113.2</v>
      </c>
      <c r="C117" s="5">
        <v>98.53</v>
      </c>
    </row>
    <row r="118" spans="1:3">
      <c r="A118" s="4">
        <v>45455</v>
      </c>
      <c r="B118" s="5">
        <v>111.89</v>
      </c>
      <c r="C118" s="5">
        <v>97.13</v>
      </c>
    </row>
    <row r="119" spans="1:3">
      <c r="A119" s="4">
        <v>45456</v>
      </c>
      <c r="B119" s="5">
        <v>113.26</v>
      </c>
      <c r="C119" s="5">
        <v>98.23</v>
      </c>
    </row>
    <row r="120" spans="1:3">
      <c r="A120" s="4">
        <v>45457</v>
      </c>
      <c r="B120" s="5">
        <v>114.95</v>
      </c>
      <c r="C120" s="5">
        <v>99.02</v>
      </c>
    </row>
    <row r="121" spans="1:3">
      <c r="A121" s="4">
        <v>45460</v>
      </c>
      <c r="B121" s="5">
        <v>115.61</v>
      </c>
      <c r="C121" s="5">
        <v>98.86</v>
      </c>
    </row>
    <row r="122" spans="1:3">
      <c r="A122" s="4">
        <v>45461</v>
      </c>
      <c r="B122" s="5">
        <v>117.1</v>
      </c>
      <c r="C122" s="5">
        <v>101.28</v>
      </c>
    </row>
    <row r="123" spans="1:3">
      <c r="A123" s="4">
        <v>45462</v>
      </c>
      <c r="B123" s="5">
        <v>118.47</v>
      </c>
      <c r="C123" s="5">
        <v>103.73</v>
      </c>
    </row>
    <row r="124" spans="1:3">
      <c r="A124" s="4">
        <v>45463</v>
      </c>
      <c r="B124" s="5">
        <v>119.26</v>
      </c>
      <c r="C124" s="5">
        <v>105.98</v>
      </c>
    </row>
    <row r="125" spans="1:3">
      <c r="A125" s="4">
        <v>45464</v>
      </c>
      <c r="B125" s="5">
        <v>119.64</v>
      </c>
      <c r="C125" s="5">
        <v>103.46</v>
      </c>
    </row>
    <row r="126" spans="1:3">
      <c r="A126" s="4">
        <v>45467</v>
      </c>
      <c r="B126" s="5">
        <v>119.93</v>
      </c>
      <c r="C126" s="5">
        <v>104.45</v>
      </c>
    </row>
    <row r="127" spans="1:3">
      <c r="A127" s="4">
        <v>45468</v>
      </c>
      <c r="B127" s="5">
        <v>117.03</v>
      </c>
      <c r="C127" s="5">
        <v>102.94</v>
      </c>
    </row>
    <row r="128" spans="1:3">
      <c r="A128" s="4">
        <v>45469</v>
      </c>
      <c r="B128" s="5">
        <v>117.04</v>
      </c>
      <c r="C128" s="5">
        <v>104.26</v>
      </c>
    </row>
    <row r="129" spans="1:3">
      <c r="A129" s="4">
        <v>45470</v>
      </c>
      <c r="B129" s="5">
        <v>116.77</v>
      </c>
      <c r="C129" s="5">
        <v>104.27</v>
      </c>
    </row>
    <row r="130" spans="1:3">
      <c r="A130" s="4">
        <v>45471</v>
      </c>
      <c r="B130" s="5">
        <v>115.81</v>
      </c>
      <c r="C130" s="5">
        <v>103.04</v>
      </c>
    </row>
    <row r="131" spans="1:3">
      <c r="A131" s="4">
        <v>45474</v>
      </c>
      <c r="B131" s="5">
        <v>113.92</v>
      </c>
      <c r="C131" s="5">
        <v>101.41</v>
      </c>
    </row>
    <row r="132" spans="1:3">
      <c r="A132" s="4">
        <v>45475</v>
      </c>
      <c r="B132" s="5">
        <v>113.52</v>
      </c>
      <c r="C132" s="5">
        <v>100.29</v>
      </c>
    </row>
    <row r="133" spans="1:3">
      <c r="A133" s="4">
        <v>45476</v>
      </c>
      <c r="B133" s="5">
        <v>112.69</v>
      </c>
      <c r="C133" s="5">
        <v>98.36</v>
      </c>
    </row>
    <row r="134" spans="1:3">
      <c r="A134" s="4">
        <v>45477</v>
      </c>
      <c r="B134" s="5">
        <v>112.75</v>
      </c>
      <c r="C134" s="5">
        <v>98.35</v>
      </c>
    </row>
    <row r="135" spans="1:3">
      <c r="A135" s="4">
        <v>45478</v>
      </c>
      <c r="B135" s="5">
        <v>112.46</v>
      </c>
      <c r="C135" s="5">
        <v>99.66</v>
      </c>
    </row>
    <row r="136" spans="1:3">
      <c r="A136" s="4">
        <v>45481</v>
      </c>
      <c r="B136" s="5">
        <v>111.21</v>
      </c>
      <c r="C136" s="5">
        <v>97.91</v>
      </c>
    </row>
    <row r="137" spans="1:3">
      <c r="A137" s="4">
        <v>45482</v>
      </c>
      <c r="B137" s="5">
        <v>109.68</v>
      </c>
      <c r="C137" s="5">
        <v>96.07</v>
      </c>
    </row>
    <row r="138" spans="1:3">
      <c r="A138" s="4">
        <v>45483</v>
      </c>
      <c r="B138" s="5">
        <v>109.53</v>
      </c>
      <c r="C138" s="5">
        <v>93.96</v>
      </c>
    </row>
    <row r="139" spans="1:3">
      <c r="A139" s="4">
        <v>45484</v>
      </c>
      <c r="B139" s="5">
        <v>110.03</v>
      </c>
      <c r="C139" s="5">
        <v>92.28</v>
      </c>
    </row>
    <row r="140" spans="1:3">
      <c r="A140" s="4">
        <v>45485</v>
      </c>
      <c r="B140" s="5">
        <v>109.45</v>
      </c>
      <c r="C140" s="5">
        <v>91.44</v>
      </c>
    </row>
    <row r="141" spans="1:3">
      <c r="A141" s="4">
        <v>45488</v>
      </c>
      <c r="B141" s="5">
        <v>107.95</v>
      </c>
      <c r="C141" s="5">
        <v>91.42</v>
      </c>
    </row>
    <row r="142" spans="1:3">
      <c r="A142" s="4">
        <v>45489</v>
      </c>
      <c r="B142" s="5">
        <v>108.21</v>
      </c>
      <c r="C142" s="5">
        <v>90.32</v>
      </c>
    </row>
    <row r="143" spans="1:3">
      <c r="A143" s="4">
        <v>45490</v>
      </c>
      <c r="B143" s="5">
        <v>108.73</v>
      </c>
      <c r="C143" s="5">
        <v>91.27</v>
      </c>
    </row>
    <row r="144" spans="1:3">
      <c r="A144" s="4">
        <v>45491</v>
      </c>
      <c r="B144" s="5">
        <v>108.12</v>
      </c>
      <c r="C144" s="5">
        <v>89.81</v>
      </c>
    </row>
    <row r="145" spans="1:3">
      <c r="A145" s="4">
        <v>45492</v>
      </c>
      <c r="B145" s="5">
        <v>109.32</v>
      </c>
      <c r="C145" s="5">
        <v>93.5</v>
      </c>
    </row>
    <row r="146" spans="1:3">
      <c r="A146" s="4">
        <v>45495</v>
      </c>
      <c r="B146" s="5">
        <v>109.68</v>
      </c>
      <c r="C146" s="5">
        <v>96.24</v>
      </c>
    </row>
    <row r="147" spans="1:3">
      <c r="A147" s="4">
        <v>45496</v>
      </c>
      <c r="B147" s="5">
        <v>107.67</v>
      </c>
      <c r="C147" s="5">
        <v>92.42</v>
      </c>
    </row>
    <row r="148" spans="1:3">
      <c r="A148" s="4">
        <v>45497</v>
      </c>
      <c r="B148" s="5">
        <v>107.84</v>
      </c>
      <c r="C148" s="5">
        <v>91.93</v>
      </c>
    </row>
    <row r="149" spans="1:3">
      <c r="A149" s="4">
        <v>45498</v>
      </c>
      <c r="B149" s="5">
        <v>108.2</v>
      </c>
      <c r="C149" s="5">
        <v>94.33</v>
      </c>
    </row>
    <row r="150" spans="1:3">
      <c r="A150" s="4">
        <v>45499</v>
      </c>
      <c r="B150" s="5">
        <v>107.02</v>
      </c>
      <c r="C150" s="5">
        <v>93.63</v>
      </c>
    </row>
    <row r="151" spans="1:3">
      <c r="A151" s="4">
        <v>45502</v>
      </c>
      <c r="B151" s="5">
        <v>107.05</v>
      </c>
      <c r="C151" s="5">
        <v>92.27</v>
      </c>
    </row>
    <row r="152" spans="1:3">
      <c r="A152" s="4">
        <v>45503</v>
      </c>
      <c r="B152" s="5">
        <v>106.83</v>
      </c>
      <c r="C152" s="5">
        <v>90.87</v>
      </c>
    </row>
    <row r="153" spans="1:3">
      <c r="A153" s="4">
        <v>45504</v>
      </c>
      <c r="B153" s="5">
        <v>106.6</v>
      </c>
      <c r="C153" s="5">
        <v>92.24</v>
      </c>
    </row>
    <row r="154" spans="1:3">
      <c r="A154" s="4">
        <v>45505</v>
      </c>
      <c r="B154" s="5">
        <v>107.91</v>
      </c>
      <c r="C154" s="5">
        <v>94.78</v>
      </c>
    </row>
    <row r="155" spans="1:3">
      <c r="A155" s="4">
        <v>45506</v>
      </c>
      <c r="B155" s="5">
        <v>108.14</v>
      </c>
      <c r="C155" s="5">
        <v>94.48</v>
      </c>
    </row>
    <row r="156" spans="1:3">
      <c r="A156" s="4">
        <v>45509</v>
      </c>
      <c r="B156" s="5">
        <v>110.73</v>
      </c>
      <c r="C156" s="5">
        <v>97.21</v>
      </c>
    </row>
    <row r="157" spans="1:3">
      <c r="A157" s="4">
        <v>45510</v>
      </c>
      <c r="B157" s="5">
        <v>111.34</v>
      </c>
      <c r="C157" s="5">
        <v>99.09</v>
      </c>
    </row>
    <row r="158" spans="1:3">
      <c r="A158" s="4">
        <v>45511</v>
      </c>
      <c r="B158" s="5">
        <v>111.24</v>
      </c>
      <c r="C158" s="5">
        <v>99.56</v>
      </c>
    </row>
    <row r="159" spans="1:3">
      <c r="A159" s="4">
        <v>45512</v>
      </c>
      <c r="B159" s="5">
        <v>111.26</v>
      </c>
      <c r="C159" s="5">
        <v>100.03</v>
      </c>
    </row>
    <row r="160" spans="1:3">
      <c r="A160" s="4">
        <v>45513</v>
      </c>
      <c r="B160" s="5">
        <v>112.46</v>
      </c>
      <c r="C160" s="5">
        <v>99.76</v>
      </c>
    </row>
    <row r="161" spans="1:3">
      <c r="A161" s="4">
        <v>45516</v>
      </c>
      <c r="B161" s="5">
        <v>112.65</v>
      </c>
      <c r="C161" s="5">
        <v>99.37</v>
      </c>
    </row>
    <row r="162" spans="1:3">
      <c r="A162" s="4">
        <v>45517</v>
      </c>
      <c r="B162" s="5">
        <v>112.46</v>
      </c>
      <c r="C162" s="5">
        <v>99.63</v>
      </c>
    </row>
    <row r="163" spans="1:3">
      <c r="A163" s="4">
        <v>45518</v>
      </c>
      <c r="B163" s="5">
        <v>114.4</v>
      </c>
      <c r="C163" s="5">
        <v>99.24</v>
      </c>
    </row>
    <row r="164" spans="1:3">
      <c r="A164" s="4">
        <v>45519</v>
      </c>
      <c r="B164" s="5">
        <v>116.67</v>
      </c>
      <c r="C164" s="5">
        <v>100.89</v>
      </c>
    </row>
    <row r="165" spans="1:3">
      <c r="A165" s="4">
        <v>45520</v>
      </c>
      <c r="B165" s="5">
        <v>115.63</v>
      </c>
      <c r="C165" s="5">
        <v>99.02</v>
      </c>
    </row>
    <row r="166" spans="1:3">
      <c r="A166" s="4">
        <v>45523</v>
      </c>
      <c r="B166" s="5">
        <v>115.92</v>
      </c>
      <c r="C166" s="5">
        <v>99.51</v>
      </c>
    </row>
    <row r="167" spans="1:3">
      <c r="A167" s="4">
        <v>45524</v>
      </c>
      <c r="B167" s="5">
        <v>113.71</v>
      </c>
      <c r="C167" s="5">
        <v>95.45</v>
      </c>
    </row>
    <row r="168" spans="1:3">
      <c r="A168" s="4">
        <v>45525</v>
      </c>
      <c r="B168" s="5">
        <v>115.01</v>
      </c>
      <c r="C168" s="5">
        <v>96.61</v>
      </c>
    </row>
    <row r="169" spans="1:3">
      <c r="A169" s="4">
        <v>45526</v>
      </c>
      <c r="B169" s="5">
        <v>112.61</v>
      </c>
      <c r="C169" s="5">
        <v>93.97</v>
      </c>
    </row>
    <row r="170" spans="1:3">
      <c r="A170" s="4">
        <v>45527</v>
      </c>
      <c r="B170" s="5">
        <v>112.27</v>
      </c>
      <c r="C170" s="5">
        <v>95.3</v>
      </c>
    </row>
    <row r="171" spans="1:3">
      <c r="A171" s="4">
        <v>45530</v>
      </c>
      <c r="B171" s="5">
        <v>111.31</v>
      </c>
      <c r="C171" s="5">
        <v>93.7</v>
      </c>
    </row>
    <row r="172" spans="1:3">
      <c r="A172" s="4">
        <v>45531</v>
      </c>
      <c r="B172" s="5">
        <v>110.83</v>
      </c>
      <c r="C172" s="5">
        <v>93.63</v>
      </c>
    </row>
    <row r="173" spans="1:3">
      <c r="A173" s="4">
        <v>45532</v>
      </c>
      <c r="B173" s="5">
        <v>111.48</v>
      </c>
      <c r="C173" s="5">
        <v>94.98</v>
      </c>
    </row>
    <row r="174" spans="1:3">
      <c r="A174" s="4">
        <v>45533</v>
      </c>
      <c r="B174" s="5">
        <v>113.71</v>
      </c>
      <c r="C174" s="5">
        <v>97.1</v>
      </c>
    </row>
    <row r="175" spans="1:3">
      <c r="A175" s="4">
        <v>45534</v>
      </c>
      <c r="B175" s="5">
        <v>115.78</v>
      </c>
      <c r="C175" s="5">
        <v>99.31</v>
      </c>
    </row>
    <row r="176" spans="1:3">
      <c r="A176" s="4">
        <v>45537</v>
      </c>
      <c r="B176" s="5">
        <v>116.84</v>
      </c>
      <c r="C176" s="5">
        <v>101.53</v>
      </c>
    </row>
    <row r="177" spans="1:3">
      <c r="A177" s="4">
        <v>45538</v>
      </c>
      <c r="B177" s="5">
        <v>119.26</v>
      </c>
      <c r="C177" s="5">
        <v>102.84</v>
      </c>
    </row>
    <row r="178" spans="1:3">
      <c r="A178" s="4">
        <v>45539</v>
      </c>
      <c r="B178" s="5">
        <v>122.33</v>
      </c>
      <c r="C178" s="5">
        <v>103.63</v>
      </c>
    </row>
    <row r="179" spans="1:3">
      <c r="A179" s="4">
        <v>45540</v>
      </c>
      <c r="B179" s="5">
        <v>122.16</v>
      </c>
      <c r="C179" s="5">
        <v>103.27</v>
      </c>
    </row>
    <row r="180" spans="1:3">
      <c r="A180" s="4">
        <v>45541</v>
      </c>
      <c r="B180" s="5">
        <v>122.17</v>
      </c>
      <c r="C180" s="5">
        <v>104.99</v>
      </c>
    </row>
    <row r="181" spans="1:3">
      <c r="A181" s="4">
        <v>45544</v>
      </c>
      <c r="B181" s="5">
        <v>119.92</v>
      </c>
      <c r="C181" s="5">
        <v>101.32</v>
      </c>
    </row>
    <row r="182" spans="1:3">
      <c r="A182" s="4">
        <v>45545</v>
      </c>
      <c r="B182" s="5">
        <v>121.24</v>
      </c>
      <c r="C182" s="5">
        <v>104.74</v>
      </c>
    </row>
    <row r="183" spans="1:3">
      <c r="A183" s="4">
        <v>45546</v>
      </c>
      <c r="B183" s="5">
        <v>119.79</v>
      </c>
      <c r="C183" s="5">
        <v>102.58</v>
      </c>
    </row>
    <row r="184" spans="1:3">
      <c r="A184" s="4">
        <v>45547</v>
      </c>
      <c r="B184" s="5">
        <v>120.7</v>
      </c>
      <c r="C184" s="5">
        <v>104.25</v>
      </c>
    </row>
    <row r="185" spans="1:3">
      <c r="A185" s="4">
        <v>45548</v>
      </c>
      <c r="B185" s="5">
        <v>118.66</v>
      </c>
      <c r="C185" s="5">
        <v>102.02</v>
      </c>
    </row>
    <row r="186" spans="1:3">
      <c r="A186" s="4">
        <v>45551</v>
      </c>
      <c r="B186" s="5">
        <v>117.96</v>
      </c>
      <c r="C186" s="5">
        <v>99.89</v>
      </c>
    </row>
    <row r="187" spans="1:3">
      <c r="A187" s="4">
        <v>45552</v>
      </c>
      <c r="B187" s="5">
        <v>117.72</v>
      </c>
      <c r="C187" s="5">
        <v>98.69</v>
      </c>
    </row>
    <row r="188" spans="1:3">
      <c r="A188" s="4">
        <v>45553</v>
      </c>
      <c r="B188" s="5">
        <v>116.04</v>
      </c>
      <c r="C188" s="5">
        <v>99.61</v>
      </c>
    </row>
    <row r="189" spans="1:3">
      <c r="A189" s="4">
        <v>45554</v>
      </c>
      <c r="B189" s="5">
        <v>115.35</v>
      </c>
      <c r="C189" s="5">
        <v>97.71</v>
      </c>
    </row>
    <row r="190" spans="1:3">
      <c r="A190" s="4">
        <v>45555</v>
      </c>
      <c r="B190" s="5">
        <v>117.8</v>
      </c>
      <c r="C190" s="5">
        <v>99.7</v>
      </c>
    </row>
    <row r="191" spans="1:3">
      <c r="A191" s="4">
        <v>45558</v>
      </c>
      <c r="B191" s="5">
        <v>117.23</v>
      </c>
      <c r="C191" s="5">
        <v>96.23</v>
      </c>
    </row>
    <row r="192" spans="1:3">
      <c r="A192" s="4">
        <v>45559</v>
      </c>
      <c r="B192" s="5">
        <v>115.21</v>
      </c>
      <c r="C192" s="5">
        <v>95.87</v>
      </c>
    </row>
    <row r="193" spans="1:3">
      <c r="A193" s="4">
        <v>45560</v>
      </c>
      <c r="B193" s="5">
        <v>114.14</v>
      </c>
      <c r="C193" s="5">
        <v>94.32</v>
      </c>
    </row>
    <row r="194" spans="1:3">
      <c r="A194" s="4">
        <v>45561</v>
      </c>
      <c r="B194" s="5">
        <v>113.88</v>
      </c>
      <c r="C194" s="5">
        <v>94.28</v>
      </c>
    </row>
    <row r="195" spans="1:3">
      <c r="A195" s="4">
        <v>45562</v>
      </c>
      <c r="B195" s="5">
        <v>116.4</v>
      </c>
      <c r="C195" s="5">
        <v>94.91</v>
      </c>
    </row>
    <row r="196" spans="1:3">
      <c r="A196" s="4">
        <v>45565</v>
      </c>
      <c r="B196" s="5">
        <v>114.34</v>
      </c>
      <c r="C196" s="5">
        <v>94.68</v>
      </c>
    </row>
    <row r="197" spans="1:3">
      <c r="A197" s="4">
        <v>45566</v>
      </c>
      <c r="B197" s="5">
        <v>115.3</v>
      </c>
      <c r="C197" s="5">
        <v>96.49</v>
      </c>
    </row>
    <row r="198" spans="1:3">
      <c r="A198" s="4">
        <v>45567</v>
      </c>
      <c r="B198" s="5">
        <v>117.08</v>
      </c>
      <c r="C198" s="5">
        <v>98.2</v>
      </c>
    </row>
    <row r="199" spans="1:3">
      <c r="A199" s="4">
        <v>45568</v>
      </c>
      <c r="B199" s="5">
        <v>118.1</v>
      </c>
      <c r="C199" s="5">
        <v>100.52</v>
      </c>
    </row>
    <row r="200" spans="1:3">
      <c r="A200" s="4">
        <v>45569</v>
      </c>
      <c r="B200" s="5">
        <v>120.13</v>
      </c>
      <c r="C200" s="5">
        <v>102.87</v>
      </c>
    </row>
    <row r="201" spans="1:3">
      <c r="A201" s="4">
        <v>45572</v>
      </c>
      <c r="B201" s="5">
        <v>118.64</v>
      </c>
      <c r="C201" s="5">
        <v>100.55</v>
      </c>
    </row>
    <row r="202" spans="1:3">
      <c r="A202" s="4">
        <v>45573</v>
      </c>
      <c r="B202" s="5">
        <v>118.44</v>
      </c>
      <c r="C202" s="5">
        <v>99.93</v>
      </c>
    </row>
    <row r="203" spans="1:3">
      <c r="A203" s="4">
        <v>45574</v>
      </c>
      <c r="B203" s="5">
        <v>120.07</v>
      </c>
      <c r="C203" s="5">
        <v>100.29</v>
      </c>
    </row>
    <row r="204" spans="1:3">
      <c r="A204" s="4">
        <v>45575</v>
      </c>
      <c r="B204" s="5">
        <v>120.84</v>
      </c>
      <c r="C204" s="5">
        <v>100.57</v>
      </c>
    </row>
    <row r="205" spans="1:3">
      <c r="A205" s="4">
        <v>45576</v>
      </c>
      <c r="B205" s="5">
        <v>121.18</v>
      </c>
      <c r="C205" s="5">
        <v>102.69</v>
      </c>
    </row>
    <row r="206" spans="1:3">
      <c r="A206" s="4">
        <v>45579</v>
      </c>
      <c r="B206" s="5">
        <v>122.7</v>
      </c>
      <c r="C206" s="5">
        <v>103.53</v>
      </c>
    </row>
    <row r="207" spans="1:3">
      <c r="A207" s="4">
        <v>45580</v>
      </c>
      <c r="B207" s="5">
        <v>122.82</v>
      </c>
      <c r="C207" s="5">
        <v>104.9</v>
      </c>
    </row>
    <row r="208" spans="1:3">
      <c r="A208" s="4">
        <v>45581</v>
      </c>
      <c r="B208" s="5">
        <v>122.96</v>
      </c>
      <c r="C208" s="5">
        <v>106.39</v>
      </c>
    </row>
    <row r="209" spans="1:3">
      <c r="A209" s="4">
        <v>45582</v>
      </c>
      <c r="B209" s="5">
        <v>124.91</v>
      </c>
      <c r="C209" s="5">
        <v>107.95</v>
      </c>
    </row>
    <row r="210" spans="1:3">
      <c r="A210" s="4">
        <v>45583</v>
      </c>
      <c r="B210" s="5">
        <v>125.82</v>
      </c>
      <c r="C210" s="5">
        <v>111.47</v>
      </c>
    </row>
    <row r="211" spans="1:3">
      <c r="A211" s="4">
        <v>45586</v>
      </c>
      <c r="B211" s="5">
        <v>126.84</v>
      </c>
      <c r="C211" s="5">
        <v>111.68</v>
      </c>
    </row>
    <row r="212" spans="1:3">
      <c r="A212" s="4">
        <v>45587</v>
      </c>
      <c r="B212" s="5">
        <v>128.88999999999999</v>
      </c>
      <c r="C212" s="5">
        <v>113.84</v>
      </c>
    </row>
    <row r="213" spans="1:3">
      <c r="A213" s="4">
        <v>45588</v>
      </c>
      <c r="B213" s="5">
        <v>128.63</v>
      </c>
      <c r="C213" s="5">
        <v>114.17</v>
      </c>
    </row>
    <row r="214" spans="1:3">
      <c r="A214" s="4">
        <v>45589</v>
      </c>
      <c r="B214" s="5">
        <v>129.84</v>
      </c>
      <c r="C214" s="5">
        <v>114.76</v>
      </c>
    </row>
    <row r="215" spans="1:3">
      <c r="A215" s="4">
        <v>45590</v>
      </c>
      <c r="B215" s="5">
        <v>130.47</v>
      </c>
      <c r="C215" s="5">
        <v>116.33</v>
      </c>
    </row>
    <row r="216" spans="1:3">
      <c r="A216" s="4">
        <v>45593</v>
      </c>
      <c r="B216" s="5">
        <v>131.81</v>
      </c>
      <c r="C216" s="5">
        <v>117.73</v>
      </c>
    </row>
    <row r="217" spans="1:3">
      <c r="A217" s="4">
        <v>45594</v>
      </c>
      <c r="B217" s="5">
        <v>130.84</v>
      </c>
      <c r="C217" s="5">
        <v>116.89</v>
      </c>
    </row>
    <row r="218" spans="1:3">
      <c r="A218" s="4">
        <v>45595</v>
      </c>
      <c r="B218" s="5">
        <v>131.54</v>
      </c>
      <c r="C218" s="5">
        <v>117.98</v>
      </c>
    </row>
    <row r="219" spans="1:3">
      <c r="A219" s="4">
        <v>45596</v>
      </c>
      <c r="B219" s="5">
        <v>133.02000000000001</v>
      </c>
      <c r="C219" s="5">
        <v>120.1</v>
      </c>
    </row>
    <row r="220" spans="1:3">
      <c r="A220" s="4">
        <v>45597</v>
      </c>
      <c r="B220" s="5">
        <v>131.12</v>
      </c>
      <c r="C220" s="5">
        <v>118.95</v>
      </c>
    </row>
    <row r="221" spans="1:3">
      <c r="A221" s="4">
        <v>45600</v>
      </c>
      <c r="B221" s="5">
        <v>132.59</v>
      </c>
      <c r="C221" s="5">
        <v>118.22</v>
      </c>
    </row>
    <row r="222" spans="1:3">
      <c r="A222" s="4">
        <v>45601</v>
      </c>
      <c r="B222" s="5">
        <v>133.79</v>
      </c>
      <c r="C222" s="5">
        <v>120.8</v>
      </c>
    </row>
    <row r="223" spans="1:3">
      <c r="A223" s="4">
        <v>45602</v>
      </c>
      <c r="B223" s="5">
        <v>134.58000000000001</v>
      </c>
      <c r="C223" s="5">
        <v>122.55</v>
      </c>
    </row>
    <row r="224" spans="1:3">
      <c r="A224" s="4">
        <v>45603</v>
      </c>
      <c r="B224" s="5">
        <v>133.58000000000001</v>
      </c>
      <c r="C224" s="5">
        <v>122.36</v>
      </c>
    </row>
    <row r="225" spans="1:3">
      <c r="A225" s="4">
        <v>45604</v>
      </c>
      <c r="B225" s="5">
        <v>134.46</v>
      </c>
      <c r="C225" s="5">
        <v>122.16</v>
      </c>
    </row>
    <row r="226" spans="1:3">
      <c r="A226" s="4">
        <v>45607</v>
      </c>
      <c r="B226" s="5">
        <v>135.55000000000001</v>
      </c>
      <c r="C226" s="5">
        <v>124.9</v>
      </c>
    </row>
    <row r="227" spans="1:3">
      <c r="A227" s="4">
        <v>45608</v>
      </c>
      <c r="B227" s="5">
        <v>135.41</v>
      </c>
      <c r="C227" s="5">
        <v>127.79</v>
      </c>
    </row>
    <row r="228" spans="1:3">
      <c r="A228" s="4">
        <v>45609</v>
      </c>
      <c r="B228" s="5">
        <v>136.12</v>
      </c>
      <c r="C228" s="5">
        <v>129.11000000000001</v>
      </c>
    </row>
    <row r="229" spans="1:3">
      <c r="A229" s="4">
        <v>45610</v>
      </c>
      <c r="B229" s="5">
        <v>137.29</v>
      </c>
      <c r="C229" s="5">
        <v>130.91999999999999</v>
      </c>
    </row>
    <row r="230" spans="1:3">
      <c r="A230" s="4">
        <v>45611</v>
      </c>
      <c r="B230" s="5">
        <v>137.47</v>
      </c>
      <c r="C230" s="5">
        <v>130.57</v>
      </c>
    </row>
    <row r="231" spans="1:3">
      <c r="A231" s="4">
        <v>45614</v>
      </c>
      <c r="B231" s="5">
        <v>135.16</v>
      </c>
      <c r="C231" s="5">
        <v>126.12</v>
      </c>
    </row>
    <row r="232" spans="1:3">
      <c r="A232" s="4">
        <v>45615</v>
      </c>
      <c r="B232" s="5">
        <v>135.5</v>
      </c>
      <c r="C232" s="5">
        <v>128.82</v>
      </c>
    </row>
    <row r="233" spans="1:3">
      <c r="A233" s="4">
        <v>45616</v>
      </c>
      <c r="B233" s="5">
        <v>134.94999999999999</v>
      </c>
      <c r="C233" s="5">
        <v>124.7</v>
      </c>
    </row>
    <row r="234" spans="1:3">
      <c r="A234" s="4">
        <v>45617</v>
      </c>
      <c r="B234" s="5">
        <v>136.21</v>
      </c>
      <c r="C234" s="5">
        <v>124.54</v>
      </c>
    </row>
    <row r="235" spans="1:3">
      <c r="A235" s="4">
        <v>45618</v>
      </c>
      <c r="B235" s="5">
        <v>135.05000000000001</v>
      </c>
      <c r="C235" s="5">
        <v>123.9</v>
      </c>
    </row>
    <row r="236" spans="1:3">
      <c r="A236" s="4">
        <v>45621</v>
      </c>
      <c r="B236" s="5">
        <v>135.44999999999999</v>
      </c>
      <c r="C236" s="5">
        <v>124.67</v>
      </c>
    </row>
    <row r="237" spans="1:3">
      <c r="A237" s="4">
        <v>45622</v>
      </c>
      <c r="B237" s="5">
        <v>134.80000000000001</v>
      </c>
      <c r="C237" s="5">
        <v>123.1</v>
      </c>
    </row>
    <row r="238" spans="1:3">
      <c r="A238" s="4">
        <v>45623</v>
      </c>
      <c r="B238" s="5">
        <v>135.76</v>
      </c>
      <c r="C238" s="5">
        <v>125.46</v>
      </c>
    </row>
    <row r="239" spans="1:3">
      <c r="A239" s="4">
        <v>45624</v>
      </c>
      <c r="B239" s="5">
        <v>137.06</v>
      </c>
      <c r="C239" s="5">
        <v>128.47999999999999</v>
      </c>
    </row>
    <row r="240" spans="1:3">
      <c r="A240" s="4">
        <v>45625</v>
      </c>
      <c r="B240" s="5">
        <v>138.46</v>
      </c>
      <c r="C240" s="5">
        <v>129.63</v>
      </c>
    </row>
    <row r="241" spans="1:3">
      <c r="A241" s="4">
        <v>45628</v>
      </c>
      <c r="B241" s="5">
        <v>139.38</v>
      </c>
      <c r="C241" s="5">
        <v>130.85</v>
      </c>
    </row>
    <row r="242" spans="1:3">
      <c r="A242" s="4">
        <v>45629</v>
      </c>
      <c r="B242" s="5">
        <v>138.28</v>
      </c>
      <c r="C242" s="5">
        <v>132.43</v>
      </c>
    </row>
    <row r="243" spans="1:3">
      <c r="A243" s="4">
        <v>45630</v>
      </c>
      <c r="B243" s="5">
        <v>140.22</v>
      </c>
      <c r="C243" s="5">
        <v>133.97</v>
      </c>
    </row>
    <row r="244" spans="1:3">
      <c r="A244" s="4">
        <v>45631</v>
      </c>
      <c r="B244" s="5">
        <v>139.76</v>
      </c>
      <c r="C244" s="5">
        <v>133.87</v>
      </c>
    </row>
    <row r="245" spans="1:3">
      <c r="A245" s="4">
        <v>45632</v>
      </c>
      <c r="B245" s="5">
        <v>139.99</v>
      </c>
      <c r="C245" s="5">
        <v>133.88</v>
      </c>
    </row>
    <row r="246" spans="1:3">
      <c r="A246" s="4">
        <v>45635</v>
      </c>
      <c r="B246" s="5">
        <v>139.9</v>
      </c>
      <c r="C246" s="5">
        <v>136.19999999999999</v>
      </c>
    </row>
    <row r="247" spans="1:3">
      <c r="A247" s="4">
        <v>45636</v>
      </c>
      <c r="B247" s="5">
        <v>139.63</v>
      </c>
      <c r="C247" s="5">
        <v>135.02000000000001</v>
      </c>
    </row>
    <row r="248" spans="1:3">
      <c r="A248" s="4">
        <v>45637</v>
      </c>
      <c r="B248" s="5">
        <v>141.84</v>
      </c>
      <c r="C248" s="5">
        <v>137.43</v>
      </c>
    </row>
    <row r="249" spans="1:3">
      <c r="A249" s="4">
        <v>45638</v>
      </c>
      <c r="B249" s="5">
        <v>141.5</v>
      </c>
      <c r="C249" s="5">
        <v>136.04</v>
      </c>
    </row>
    <row r="250" spans="1:3">
      <c r="A250" s="4">
        <v>45639</v>
      </c>
      <c r="B250" s="5">
        <v>141.66</v>
      </c>
      <c r="C250" s="5">
        <v>135.91</v>
      </c>
    </row>
    <row r="251" spans="1:3">
      <c r="A251" s="4">
        <v>45642</v>
      </c>
      <c r="B251" s="5">
        <v>141.47999999999999</v>
      </c>
      <c r="C251" s="5">
        <v>135.55000000000001</v>
      </c>
    </row>
    <row r="252" spans="1:3">
      <c r="A252" s="4">
        <v>45643</v>
      </c>
      <c r="B252" s="5">
        <v>142</v>
      </c>
      <c r="C252" s="5">
        <v>134.22999999999999</v>
      </c>
    </row>
    <row r="253" spans="1:3">
      <c r="A253" s="4">
        <v>45644</v>
      </c>
      <c r="B253" s="5">
        <v>140.76</v>
      </c>
      <c r="C253" s="5">
        <v>132.28</v>
      </c>
    </row>
    <row r="254" spans="1:3">
      <c r="A254" s="4">
        <v>45645</v>
      </c>
      <c r="B254" s="5">
        <v>140.91</v>
      </c>
      <c r="C254" s="5">
        <v>132.08000000000001</v>
      </c>
    </row>
    <row r="255" spans="1:3">
      <c r="A255" s="4">
        <v>45646</v>
      </c>
      <c r="B255" s="5">
        <v>141.1</v>
      </c>
      <c r="C255" s="5">
        <v>132.5</v>
      </c>
    </row>
    <row r="256" spans="1:3">
      <c r="A256" s="4">
        <v>45649</v>
      </c>
      <c r="B256" s="5">
        <v>140.79</v>
      </c>
      <c r="C256" s="5">
        <v>131.79</v>
      </c>
    </row>
    <row r="257" spans="1:3">
      <c r="A257" s="4">
        <v>45650</v>
      </c>
      <c r="B257" s="5">
        <v>143.78</v>
      </c>
      <c r="C257" s="5">
        <v>135.25</v>
      </c>
    </row>
    <row r="258" spans="1:3">
      <c r="A258" s="4">
        <v>45651</v>
      </c>
      <c r="B258" s="5">
        <v>143.27000000000001</v>
      </c>
      <c r="C258" s="5">
        <v>136.01</v>
      </c>
    </row>
    <row r="259" spans="1:3">
      <c r="A259" s="4">
        <v>45652</v>
      </c>
      <c r="B259" s="5">
        <v>144.04</v>
      </c>
      <c r="C259" s="5">
        <v>135.63</v>
      </c>
    </row>
    <row r="260" spans="1:3">
      <c r="A260" s="4">
        <v>45653</v>
      </c>
      <c r="B260" s="5">
        <v>146.6</v>
      </c>
      <c r="C260" s="5">
        <v>134.69</v>
      </c>
    </row>
    <row r="261" spans="1:3">
      <c r="A261" s="4">
        <v>45656</v>
      </c>
      <c r="B261" s="5">
        <v>147.56</v>
      </c>
      <c r="C261" s="5">
        <v>136.43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3.7"/>
  <cols>
    <col min="1" max="1" width="9.1640625" customWidth="1"/>
    <col min="2" max="2" width="84.94140625" customWidth="1"/>
  </cols>
  <sheetData>
    <row r="1" spans="1:2">
      <c r="A1" s="1" t="s">
        <v>3</v>
      </c>
      <c r="B1" s="1" t="s">
        <v>4</v>
      </c>
    </row>
    <row r="2" spans="1:2">
      <c r="A2" s="2" t="s">
        <v>5</v>
      </c>
      <c r="B2" t="s">
        <v>6</v>
      </c>
    </row>
    <row r="3" spans="1:2">
      <c r="A3" s="2" t="s">
        <v>7</v>
      </c>
      <c r="B3" t="s">
        <v>6</v>
      </c>
    </row>
    <row r="4" spans="1:2">
      <c r="A4" s="2" t="s">
        <v>8</v>
      </c>
      <c r="B4" t="s">
        <v>9</v>
      </c>
    </row>
    <row r="5" spans="1:2">
      <c r="A5" s="2" t="s">
        <v>10</v>
      </c>
      <c r="B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Mount</cp:lastModifiedBy>
  <dcterms:modified xsi:type="dcterms:W3CDTF">2026-06-03T21:21:22Z</dcterms:modified>
</cp:coreProperties>
</file>
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georg\Documents\GitHub\blog-files\"/>
    </mc:Choice>
  </mc:AlternateContent>
  <xr:revisionPtr revIDLastSave="0" documentId="13_ncr:2000001_{3046EC21-9349-4DFF-8C26-F5AF99169A00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customer_data" sheetId="1" r:id="rId1"/>
    <sheet name="READM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 a="1"/>
  <c r="L4" i="1" s="1" a="1"/>
  <c r="L6" i="1" s="1" a="1"/>
  <c r="L12" i="1" s="1" a="1"/>
  <c r="L32" i="1" s="1" a="1"/>
  <c r="L39" i="1" s="1" a="1"/>
  <c r="L47" i="1" s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2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sklearn.cluster import KMeans
from sklearn.preprocessing import StandardScaler
df = xl(%P2%, headers=True)</code>
    </pythonScript>
    <pythonScript>
      <code>features = [
    "annual_spend",
    "orders_per_year",
    "avg_order_value",
    "discount_rate",
    "returns_rate",
    "support_tickets",
    "days_since_last_order"
]
X = df[features]</code>
    </pythonScript>
    <pythonScript>
      <code>scaler = StandardScaler()
X_scaled = scaler.fit_transform(X)
X_scaled[:5]</code>
    </pythonScript>
    <pythonScript>
      <code>sse = []
for k in range(2, 11):
    model = KMeans(n_clusters=k, n_init=10, random_state=42)
    model.fit(X_scaled)
    sse.append(model.inertia_)
plt.plot(range(2, 11), sse, marker="o")
plt.xlabel("Number of clusters")
plt.ylabel("SSE / Inertia")
plt.title("Elbow Method")</code>
    </pythonScript>
    <pythonScript>
      <code>kmeans = KMeans(n_clusters=4, n_init=10, random_state=42)
df["cluster"] = kmeans.fit_predict(X_scaled)
df["cluster"].head()</code>
    </pythonScript>
    <pythonScript>
      <code>cluster_summary = (
    df
    .groupby("cluster")[features]
    .mean()
    .round(2)
)
cluster_summary</code>
    </pythonScript>
    <pythonScript>
      <code>plt.scatter(
    df["annual_spend"],
    df["orders_per_year"],
    c=df["cluster"]
)
plt.xlabel("Annual Spend")
plt.ylabel("Orders per Year")
plt.title("Customer Segments from K-Means")</code>
    </pythonScript>
  </pythonScripts>
</python>
</file>

<file path=xl/sharedStrings.xml><?xml version="1.0" encoding="utf-8"?>
<sst xmlns="http://schemas.openxmlformats.org/spreadsheetml/2006/main" count="557" uniqueCount="205">
  <si>
    <t>customer_id</t>
  </si>
  <si>
    <t>region</t>
  </si>
  <si>
    <t>membership_tier</t>
  </si>
  <si>
    <t>annual_spend</t>
  </si>
  <si>
    <t>orders_per_year</t>
  </si>
  <si>
    <t>avg_order_value</t>
  </si>
  <si>
    <t>discount_rate</t>
  </si>
  <si>
    <t>returns_rate</t>
  </si>
  <si>
    <t>support_tickets</t>
  </si>
  <si>
    <t>days_since_last_order</t>
  </si>
  <si>
    <t>C1173</t>
  </si>
  <si>
    <t>West</t>
  </si>
  <si>
    <t>Silver</t>
  </si>
  <si>
    <t>C1169</t>
  </si>
  <si>
    <t>Bronze</t>
  </si>
  <si>
    <t>C1100</t>
  </si>
  <si>
    <t>Midwest</t>
  </si>
  <si>
    <t>C1099</t>
  </si>
  <si>
    <t>C1009</t>
  </si>
  <si>
    <t>C1068</t>
  </si>
  <si>
    <t>C1064</t>
  </si>
  <si>
    <t>Northeast</t>
  </si>
  <si>
    <t>C1027</t>
  </si>
  <si>
    <t>Gold</t>
  </si>
  <si>
    <t>C1144</t>
  </si>
  <si>
    <t>C1030</t>
  </si>
  <si>
    <t>Platinum</t>
  </si>
  <si>
    <t>C1098</t>
  </si>
  <si>
    <t>C1154</t>
  </si>
  <si>
    <t>C1109</t>
  </si>
  <si>
    <t>C1067</t>
  </si>
  <si>
    <t>C1089</t>
  </si>
  <si>
    <t>C1134</t>
  </si>
  <si>
    <t>C1076</t>
  </si>
  <si>
    <t>C1168</t>
  </si>
  <si>
    <t>South</t>
  </si>
  <si>
    <t>C1094</t>
  </si>
  <si>
    <t>C1170</t>
  </si>
  <si>
    <t>C1155</t>
  </si>
  <si>
    <t>C1131</t>
  </si>
  <si>
    <t>C1088</t>
  </si>
  <si>
    <t>C1015</t>
  </si>
  <si>
    <t>C1017</t>
  </si>
  <si>
    <t>C1146</t>
  </si>
  <si>
    <t>C1056</t>
  </si>
  <si>
    <t>C1019</t>
  </si>
  <si>
    <t>C1116</t>
  </si>
  <si>
    <t>C1007</t>
  </si>
  <si>
    <t>C1022</t>
  </si>
  <si>
    <t>C1081</t>
  </si>
  <si>
    <t>C1145</t>
  </si>
  <si>
    <t>C1115</t>
  </si>
  <si>
    <t>C1011</t>
  </si>
  <si>
    <t>C1159</t>
  </si>
  <si>
    <t>C1069</t>
  </si>
  <si>
    <t>C1114</t>
  </si>
  <si>
    <t>C1104</t>
  </si>
  <si>
    <t>C1033</t>
  </si>
  <si>
    <t>C1172</t>
  </si>
  <si>
    <t>C1004</t>
  </si>
  <si>
    <t>C1163</t>
  </si>
  <si>
    <t>C1037</t>
  </si>
  <si>
    <t>C1005</t>
  </si>
  <si>
    <t>C1103</t>
  </si>
  <si>
    <t>C1153</t>
  </si>
  <si>
    <t>C1096</t>
  </si>
  <si>
    <t>C1071</t>
  </si>
  <si>
    <t>C1119</t>
  </si>
  <si>
    <t>C1006</t>
  </si>
  <si>
    <t>C1051</t>
  </si>
  <si>
    <t>C1091</t>
  </si>
  <si>
    <t>C1057</t>
  </si>
  <si>
    <t>C1166</t>
  </si>
  <si>
    <t>C1090</t>
  </si>
  <si>
    <t>C1063</t>
  </si>
  <si>
    <t>C1178</t>
  </si>
  <si>
    <t>C1053</t>
  </si>
  <si>
    <t>C1138</t>
  </si>
  <si>
    <t>C1078</t>
  </si>
  <si>
    <t>C1093</t>
  </si>
  <si>
    <t>C1049</t>
  </si>
  <si>
    <t>C1061</t>
  </si>
  <si>
    <t>C1054</t>
  </si>
  <si>
    <t>C1139</t>
  </si>
  <si>
    <t>C1059</t>
  </si>
  <si>
    <t>C1020</t>
  </si>
  <si>
    <t>C1101</t>
  </si>
  <si>
    <t>C1167</t>
  </si>
  <si>
    <t>C1072</t>
  </si>
  <si>
    <t>C1132</t>
  </si>
  <si>
    <t>C1149</t>
  </si>
  <si>
    <t>C1174</t>
  </si>
  <si>
    <t>C1113</t>
  </si>
  <si>
    <t>C1080</t>
  </si>
  <si>
    <t>C1065</t>
  </si>
  <si>
    <t>C1111</t>
  </si>
  <si>
    <t>C1021</t>
  </si>
  <si>
    <t>C1040</t>
  </si>
  <si>
    <t>C1158</t>
  </si>
  <si>
    <t>C1161</t>
  </si>
  <si>
    <t>C1008</t>
  </si>
  <si>
    <t>C1124</t>
  </si>
  <si>
    <t>C1047</t>
  </si>
  <si>
    <t>C1084</t>
  </si>
  <si>
    <t>C1129</t>
  </si>
  <si>
    <t>C1125</t>
  </si>
  <si>
    <t>C1162</t>
  </si>
  <si>
    <t>C1148</t>
  </si>
  <si>
    <t>C1039</t>
  </si>
  <si>
    <t>C1043</t>
  </si>
  <si>
    <t>C1157</t>
  </si>
  <si>
    <t>C1058</t>
  </si>
  <si>
    <t>C1031</t>
  </si>
  <si>
    <t>C1133</t>
  </si>
  <si>
    <t>C1034</t>
  </si>
  <si>
    <t>C1001</t>
  </si>
  <si>
    <t>C1032</t>
  </si>
  <si>
    <t>C1108</t>
  </si>
  <si>
    <t>C1062</t>
  </si>
  <si>
    <t>C1018</t>
  </si>
  <si>
    <t>C1126</t>
  </si>
  <si>
    <t>C1013</t>
  </si>
  <si>
    <t>C1143</t>
  </si>
  <si>
    <t>C1112</t>
  </si>
  <si>
    <t>C1012</t>
  </si>
  <si>
    <t>C1136</t>
  </si>
  <si>
    <t>C1128</t>
  </si>
  <si>
    <t>C1055</t>
  </si>
  <si>
    <t>C1176</t>
  </si>
  <si>
    <t>C1165</t>
  </si>
  <si>
    <t>C1082</t>
  </si>
  <si>
    <t>C1110</t>
  </si>
  <si>
    <t>C1079</t>
  </si>
  <si>
    <t>C1160</t>
  </si>
  <si>
    <t>C1025</t>
  </si>
  <si>
    <t>C1097</t>
  </si>
  <si>
    <t>C1087</t>
  </si>
  <si>
    <t>C1142</t>
  </si>
  <si>
    <t>C1038</t>
  </si>
  <si>
    <t>C1151</t>
  </si>
  <si>
    <t>C1044</t>
  </si>
  <si>
    <t>C1095</t>
  </si>
  <si>
    <t>C1171</t>
  </si>
  <si>
    <t>C1024</t>
  </si>
  <si>
    <t>C1092</t>
  </si>
  <si>
    <t>C1066</t>
  </si>
  <si>
    <t>C1118</t>
  </si>
  <si>
    <t>C1042</t>
  </si>
  <si>
    <t>C1175</t>
  </si>
  <si>
    <t>C1029</t>
  </si>
  <si>
    <t>C1050</t>
  </si>
  <si>
    <t>C1070</t>
  </si>
  <si>
    <t>C1120</t>
  </si>
  <si>
    <t>C1130</t>
  </si>
  <si>
    <t>C1035</t>
  </si>
  <si>
    <t>C1150</t>
  </si>
  <si>
    <t>C1135</t>
  </si>
  <si>
    <t>C1140</t>
  </si>
  <si>
    <t>C1117</t>
  </si>
  <si>
    <t>C1073</t>
  </si>
  <si>
    <t>C1086</t>
  </si>
  <si>
    <t>C1028</t>
  </si>
  <si>
    <t>C1077</t>
  </si>
  <si>
    <t>C1003</t>
  </si>
  <si>
    <t>C1152</t>
  </si>
  <si>
    <t>C1075</t>
  </si>
  <si>
    <t>C1048</t>
  </si>
  <si>
    <t>C1127</t>
  </si>
  <si>
    <t>C1102</t>
  </si>
  <si>
    <t>C1156</t>
  </si>
  <si>
    <t>C1046</t>
  </si>
  <si>
    <t>C1107</t>
  </si>
  <si>
    <t>C1045</t>
  </si>
  <si>
    <t>C1010</t>
  </si>
  <si>
    <t>C1137</t>
  </si>
  <si>
    <t>C1179</t>
  </si>
  <si>
    <t>C1147</t>
  </si>
  <si>
    <t>C1023</t>
  </si>
  <si>
    <t>C1016</t>
  </si>
  <si>
    <t>C1180</t>
  </si>
  <si>
    <t>C1083</t>
  </si>
  <si>
    <t>C1074</t>
  </si>
  <si>
    <t>C1052</t>
  </si>
  <si>
    <t>C1123</t>
  </si>
  <si>
    <t>C1122</t>
  </si>
  <si>
    <t>C1105</t>
  </si>
  <si>
    <t>C1041</t>
  </si>
  <si>
    <t>C1141</t>
  </si>
  <si>
    <t>C1002</t>
  </si>
  <si>
    <t>C1036</t>
  </si>
  <si>
    <t>C1177</t>
  </si>
  <si>
    <t>C1121</t>
  </si>
  <si>
    <t>C1085</t>
  </si>
  <si>
    <t>C1106</t>
  </si>
  <si>
    <t>C1026</t>
  </si>
  <si>
    <t>C1014</t>
  </si>
  <si>
    <t>C1060</t>
  </si>
  <si>
    <t>C1164</t>
  </si>
  <si>
    <t>Customer Segmentation Dataset</t>
  </si>
  <si>
    <t>Purpose</t>
  </si>
  <si>
    <t>Practice K-Means clustering in Python in Excel.</t>
  </si>
  <si>
    <t>Suggested clustering features</t>
  </si>
  <si>
    <t>annual_spend, orders_per_year, avg_order_value, discount_rate, returns_rate, support_tickets, days_since_last_order</t>
  </si>
  <si>
    <t>Note</t>
  </si>
  <si>
    <t>The data is fictional and designed for teaching customer segmentation.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</si>
</sst>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Array" Target="richData/rdarray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16</xdr:col>
      <xdr:colOff>313267</xdr:colOff>
      <xdr:row>28</xdr:row>
      <xdr:rowOff>1482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FF25E9AD-8662-7868-DE44-5280373DFE94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ustomer_data!L1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33000" y="1909233"/>
          <a:ext cx="3721100" cy="295211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18</xdr:col>
      <xdr:colOff>385582</xdr:colOff>
      <xdr:row>69</xdr:row>
      <xdr:rowOff>150207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2D463CA4-C845-1C4A-95AB-8C48976D1F5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customer_data!L47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33000" y="7984067"/>
          <a:ext cx="5148082" cy="414224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2" c="11">
    <v t="s"/>
    <v t="s">customer_id</v>
    <v t="s">region</v>
    <v t="s">membership_tier</v>
    <v t="s">annual_spend</v>
    <v t="s">orders_per_year</v>
    <v t="s">avg_order_value</v>
    <v t="s">discount_rate</v>
    <v t="s">returns_rate</v>
    <v t="s">support_tickets</v>
    <v t="s">days_since_last_order</v>
    <v>0</v>
    <v t="s">C1173</v>
    <v t="s">West</v>
    <v t="s">Silver</v>
    <v>561.89</v>
    <v>3</v>
    <v>137.87</v>
    <v>0.17199999999999999</v>
    <v>0.121</v>
    <v>3</v>
    <v>101</v>
    <v>1</v>
    <v t="s">C1169</v>
    <v t="s">West</v>
    <v t="s">Bronze</v>
    <v>553.03</v>
    <v>4</v>
    <v>116.42</v>
    <v>0.191</v>
    <v>6.9000000000000006E-2</v>
    <v>5</v>
    <v>117</v>
    <v>2</v>
    <v t="s">C1100</v>
    <v t="s">Midwest</v>
    <v t="s">Silver</v>
    <v>1935.65</v>
    <v>37</v>
    <v>56.58</v>
    <v>0.26600000000000001</v>
    <v>6.7000000000000004E-2</v>
    <v>1</v>
    <v>30</v>
    <v>3</v>
    <v t="s">C1099</v>
    <v t="s">West</v>
    <v t="s">Bronze</v>
    <v>2713.9</v>
    <v>44</v>
    <v>85.1</v>
    <v>0.255</v>
    <v>7.1999999999999995E-2</v>
    <v>0</v>
    <v>20</v>
    <v>4</v>
    <v t="s">C1009</v>
    <v t="s">West</v>
    <v t="s">Silver</v>
    <v>4539.4799999999996</v>
    <v>30</v>
    <v>166.96</v>
    <v>6.6000000000000003E-2</v>
    <v>5.0000000000000001E-3</v>
    <v>1</v>
    <v>6</v>
    <v t="s">...</v>
    <v t="s">...</v>
    <v t="s">...</v>
    <v t="s">...</v>
    <v t="s">...</v>
    <v t="s">...</v>
    <v t="s">...</v>
    <v t="s">...</v>
    <v t="s">...</v>
    <v t="s">...</v>
    <v t="s">...</v>
    <v>175</v>
    <v t="s">C1106</v>
    <v t="s">West</v>
    <v t="s">Bronze</v>
    <v>3060.52</v>
    <v>9</v>
    <v>341.41</v>
    <v>0.128</v>
    <v>2.1999999999999999E-2</v>
    <v>0</v>
    <v>91</v>
    <v>176</v>
    <v t="s">C1026</v>
    <v t="s">Northeast</v>
    <v t="s">Platinum</v>
    <v>3305.24</v>
    <v>23</v>
    <v>143.87</v>
    <v>0.08</v>
    <v>2.5000000000000001E-2</v>
    <v>0</v>
    <v>31</v>
    <v>177</v>
    <v t="s">C1014</v>
    <v t="s">West</v>
    <v t="s">Silver</v>
    <v>4633.7</v>
    <v>23</v>
    <v>206.72</v>
    <v>7.5999999999999998E-2</v>
    <v>4.2999999999999997E-2</v>
    <v>2</v>
    <v>10</v>
    <v>178</v>
    <v t="s">C1060</v>
    <v t="s">Midwest</v>
    <v t="s">Bronze</v>
    <v>2173.33</v>
    <v>26</v>
    <v>73.61</v>
    <v>0.20100000000000001</v>
    <v>0.11799999999999999</v>
    <v>1</v>
    <v>28</v>
    <v>179</v>
    <v t="s">C1164</v>
    <v t="s">South</v>
    <v t="s">Bronze</v>
    <v>1144.48</v>
    <v>8</v>
    <v>167.69</v>
    <v>0.16300000000000001</v>
    <v>0.14499999999999999</v>
    <v>3</v>
    <v>204</v>
  </a>
  <a r="12" c="8">
    <v t="s"/>
    <v t="s">annual_spend</v>
    <v t="s">orders_per_year</v>
    <v t="s">avg_order_value</v>
    <v t="s">discount_rate</v>
    <v t="s">returns_rate</v>
    <v t="s">support_tickets</v>
    <v t="s">days_since_last_order</v>
    <v>0</v>
    <v>561.89</v>
    <v>3</v>
    <v>137.87</v>
    <v>0.17199999999999999</v>
    <v>0.121</v>
    <v>3</v>
    <v>101</v>
    <v>1</v>
    <v>553.03</v>
    <v>4</v>
    <v>116.42</v>
    <v>0.191</v>
    <v>6.9000000000000006E-2</v>
    <v>5</v>
    <v>117</v>
    <v>2</v>
    <v>1935.65</v>
    <v>37</v>
    <v>56.58</v>
    <v>0.26600000000000001</v>
    <v>6.7000000000000004E-2</v>
    <v>1</v>
    <v>30</v>
    <v>3</v>
    <v>2713.9</v>
    <v>44</v>
    <v>85.1</v>
    <v>0.255</v>
    <v>7.1999999999999995E-2</v>
    <v>0</v>
    <v>20</v>
    <v>4</v>
    <v>4539.4799999999996</v>
    <v>30</v>
    <v>166.96</v>
    <v>6.6000000000000003E-2</v>
    <v>5.0000000000000001E-3</v>
    <v>1</v>
    <v>6</v>
    <v t="s">...</v>
    <v t="s">...</v>
    <v t="s">...</v>
    <v t="s">...</v>
    <v t="s">...</v>
    <v t="s">...</v>
    <v t="s">...</v>
    <v t="s">...</v>
    <v>175</v>
    <v>3060.52</v>
    <v>9</v>
    <v>341.41</v>
    <v>0.128</v>
    <v>2.1999999999999999E-2</v>
    <v>0</v>
    <v>91</v>
    <v>176</v>
    <v>3305.24</v>
    <v>23</v>
    <v>143.87</v>
    <v>0.08</v>
    <v>2.5000000000000001E-2</v>
    <v>0</v>
    <v>31</v>
    <v>177</v>
    <v>4633.7</v>
    <v>23</v>
    <v>206.72</v>
    <v>7.5999999999999998E-2</v>
    <v>4.2999999999999997E-2</v>
    <v>2</v>
    <v>10</v>
    <v>178</v>
    <v>2173.33</v>
    <v>26</v>
    <v>73.61</v>
    <v>0.20100000000000001</v>
    <v>0.11799999999999999</v>
    <v>1</v>
    <v>28</v>
    <v>179</v>
    <v>1144.48</v>
    <v>8</v>
    <v>167.69</v>
    <v>0.16300000000000001</v>
    <v>0.14499999999999999</v>
    <v>3</v>
    <v>204</v>
  </a>
</arrayData>
</file>

<file path=xl/richData/rdrichvalue.xml><?xml version="1.0" encoding="utf-8"?>
<rvData xmlns="http://schemas.microsoft.com/office/spreadsheetml/2017/richdata" count="8">
  <rv s="0">
    <v>0</v>
  </rv>
  <rv s="1">
    <v>DataFrame</v>
    <v>1</v>
    <v>0</v>
  </rv>
  <rv s="2">
    <v>&lt;class 'pandas.core.frame.DataFrame'&gt;</v>
    <v>DataFrame</v>
    <v xml:space="preserve">    customer_id     region membership_tier  annual_spend  orders_per_year  \
0         C1173       West          Silver        561.89                3   
1         C1169       West          Bronze        553.03                4   
2         C1100    Mi...</v>
    <v>1</v>
    <v>2</v>
  </rv>
  <rv s="0">
    <v>1</v>
  </rv>
  <rv s="1">
    <v>DataFrame</v>
    <v>4</v>
    <v>3</v>
  </rv>
  <rv s="2">
    <v>&lt;class 'pandas.core.frame.DataFrame'&gt;</v>
    <v>DataFrame</v>
    <v xml:space="preserve">     annual_spend  orders_per_year  avg_order_value  discount_rate  \
0          561.89                3           137.87          0.172   
1          553.03                4           116.42          0.191   
2         1935.65               37        ...</v>
    <v>4</v>
    <v>2</v>
  </rv>
  <rv s="3">
    <v>0</v>
    <v>9</v>
    <v>Image generated by Python</v>
  </rv>
  <rv s="3">
    <v>1</v>
    <v>9</v>
    <v>Image generated by Python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localImage">
    <k n="_rvRel:LocalImageIdentifier" t="i"/>
    <k n="CalcOrigin" t="i"/>
    <k n="Text" t="s"/>
  </s>
</rvStructures>
</file>

<file path=xl/richData/rdsupportingpropertybag.xml><?xml version="1.0" encoding="utf-8"?>
<supportingPropertyBags xmlns="http://schemas.microsoft.com/office/spreadsheetml/2017/richdata2">
  <spbData count="5">
    <spb s="0">
      <v>180</v>
      <v>10</v>
      <v>DataFrame</v>
      <v>arrayPreview</v>
      <v>1</v>
    </spb>
    <spb s="1">
      <v>0</v>
    </spb>
    <spb s="2">
      <v>https://www.anaconda.com/excel</v>
      <v>https://res.cdn.office.net/officepysvc/prod-preview/anacondalogo.png</v>
      <v>Python provided by Anaconda</v>
    </spb>
    <spb s="0">
      <v>180</v>
      <v>7</v>
      <v>DataFrame</v>
      <v>arrayPreview</v>
      <v>1</v>
    </spb>
    <spb s="1">
      <v>3</v>
    </spb>
  </spbData>
</supportingPropertyBags>
</file>

<file path=xl/richData/rdsupportingpropertybagstructure.xml><?xml version="1.0" encoding="utf-8"?>
<spbStructures xmlns="http://schemas.microsoft.com/office/spreadsheetml/2017/richdata2" count="3">
  <s>
    <k n="drw" t="i"/>
    <k n="dcol" t="i"/>
    <k n="name" t="s"/>
    <k n="array" t="s"/>
    <k n="headers" t="b"/>
  </s>
  <s>
    <k n="ArrayCardInfo" t="spb"/>
  </s>
  <s>
    <k n="link" t="s"/>
    <k n="logo" t="s"/>
    <k n="name" t="s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Data" displayName="CustomerData" ref="A1:J181">
  <tableColumns count="10">
    <tableColumn id="1" xr3:uid="{00000000-0010-0000-0000-000001000000}" name="customer_id"/>
    <tableColumn id="2" xr3:uid="{00000000-0010-0000-0000-000002000000}" name="region"/>
    <tableColumn id="3" xr3:uid="{00000000-0010-0000-0000-000003000000}" name="membership_tier"/>
    <tableColumn id="4" xr3:uid="{00000000-0010-0000-0000-000004000000}" name="annual_spend"/>
    <tableColumn id="5" xr3:uid="{00000000-0010-0000-0000-000005000000}" name="orders_per_year"/>
    <tableColumn id="6" xr3:uid="{00000000-0010-0000-0000-000006000000}" name="avg_order_value"/>
    <tableColumn id="7" xr3:uid="{00000000-0010-0000-0000-000007000000}" name="discount_rate"/>
    <tableColumn id="8" xr3:uid="{00000000-0010-0000-0000-000008000000}" name="returns_rate"/>
    <tableColumn id="9" xr3:uid="{00000000-0010-0000-0000-000009000000}" name="support_tickets"/>
    <tableColumn id="10" xr3:uid="{00000000-0010-0000-0000-00000A000000}" name="days_since_last_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1"/>
  <sheetViews>
    <sheetView tabSelected="1" workbookViewId="0">
      <selection activeCell="B5" sqref="B5"/>
    </sheetView>
  </sheetViews>
  <sheetFormatPr defaultRowHeight="13.7"/>
  <cols>
    <col min="1" max="1" width="10.109375" customWidth="1"/>
    <col min="2" max="2" width="7.94140625" customWidth="1"/>
    <col min="3" max="3" width="14.109375" customWidth="1"/>
    <col min="4" max="4" width="11.44140625" customWidth="1"/>
    <col min="5" max="5" width="13.44140625" customWidth="1"/>
    <col min="6" max="6" width="13.609375" customWidth="1"/>
    <col min="7" max="7" width="11.1640625" customWidth="1"/>
    <col min="8" max="8" width="10.109375" customWidth="1"/>
    <col min="9" max="9" width="12.6640625" customWidth="1"/>
    <col min="10" max="10" width="18.1640625" customWidth="1"/>
    <col min="12" max="12" width="9.1640625" bestFit="1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L1" t="e" cm="1" vm="1">
        <f t="array" ref="L1">_xlfn._xlws.PY(0,1,CustomerData[#All])</f>
        <v>#VALUE!</v>
      </c>
    </row>
    <row r="2" spans="1:18">
      <c r="A2" t="s">
        <v>10</v>
      </c>
      <c r="B2" t="s">
        <v>11</v>
      </c>
      <c r="C2" t="s">
        <v>12</v>
      </c>
      <c r="D2" s="4">
        <v>561.89</v>
      </c>
      <c r="E2">
        <v>3</v>
      </c>
      <c r="F2" s="4">
        <v>137.87</v>
      </c>
      <c r="G2" s="5">
        <v>0.17199999999999999</v>
      </c>
      <c r="H2" s="5">
        <v>0.121</v>
      </c>
      <c r="I2">
        <v>3</v>
      </c>
      <c r="J2">
        <v>101</v>
      </c>
    </row>
    <row r="3" spans="1:18">
      <c r="A3" t="s">
        <v>13</v>
      </c>
      <c r="B3" t="s">
        <v>11</v>
      </c>
      <c r="C3" t="s">
        <v>14</v>
      </c>
      <c r="D3" s="4">
        <v>553.03</v>
      </c>
      <c r="E3">
        <v>4</v>
      </c>
      <c r="F3" s="4">
        <v>116.42</v>
      </c>
      <c r="G3" s="5">
        <v>0.191</v>
      </c>
      <c r="H3" s="5">
        <v>6.9000000000000006E-2</v>
      </c>
      <c r="I3">
        <v>5</v>
      </c>
      <c r="J3">
        <v>117</v>
      </c>
    </row>
    <row r="4" spans="1:18">
      <c r="A4" t="s">
        <v>15</v>
      </c>
      <c r="B4" t="s">
        <v>16</v>
      </c>
      <c r="C4" t="s">
        <v>12</v>
      </c>
      <c r="D4" s="4">
        <v>1935.65</v>
      </c>
      <c r="E4">
        <v>37</v>
      </c>
      <c r="F4" s="4">
        <v>56.58</v>
      </c>
      <c r="G4" s="5">
        <v>0.26600000000000001</v>
      </c>
      <c r="H4" s="5">
        <v>6.7000000000000004E-2</v>
      </c>
      <c r="I4">
        <v>1</v>
      </c>
      <c r="J4">
        <v>30</v>
      </c>
      <c r="L4" t="e" cm="1" vm="2">
        <f t="array" ref="L4">_xlfn._xlws.PY(1,1)</f>
        <v>#VALUE!</v>
      </c>
    </row>
    <row r="5" spans="1:18">
      <c r="A5" t="s">
        <v>17</v>
      </c>
      <c r="B5" t="s">
        <v>11</v>
      </c>
      <c r="C5" t="s">
        <v>14</v>
      </c>
      <c r="D5" s="4">
        <v>2713.9</v>
      </c>
      <c r="E5">
        <v>44</v>
      </c>
      <c r="F5" s="4">
        <v>85.1</v>
      </c>
      <c r="G5" s="5">
        <v>0.255</v>
      </c>
      <c r="H5" s="5">
        <v>7.1999999999999995E-2</v>
      </c>
      <c r="I5">
        <v>0</v>
      </c>
      <c r="J5">
        <v>20</v>
      </c>
    </row>
    <row r="6" spans="1:18">
      <c r="A6" t="s">
        <v>18</v>
      </c>
      <c r="B6" t="s">
        <v>11</v>
      </c>
      <c r="C6" t="s">
        <v>12</v>
      </c>
      <c r="D6" s="4">
        <v>4539.4799999999996</v>
      </c>
      <c r="E6">
        <v>30</v>
      </c>
      <c r="F6" s="4">
        <v>166.96</v>
      </c>
      <c r="G6" s="5">
        <v>6.6000000000000003E-2</v>
      </c>
      <c r="H6" s="5">
        <v>5.0000000000000001E-3</v>
      </c>
      <c r="I6">
        <v>1</v>
      </c>
      <c r="J6">
        <v>6</v>
      </c>
      <c r="L6" cm="1">
        <f t="array" ref="L6:R10">_xlfn._xlws.PY(2,0)</f>
        <v>-1.3041373356770676</v>
      </c>
      <c r="M6">
        <v>-1.1759853469283887</v>
      </c>
      <c r="N6">
        <v>-0.2910777741683534</v>
      </c>
      <c r="O6">
        <v>0.22421989408751555</v>
      </c>
      <c r="P6">
        <v>1.2613947726042967</v>
      </c>
      <c r="Q6">
        <v>1.3983257229103461</v>
      </c>
      <c r="R6">
        <v>0.64669672942704892</v>
      </c>
    </row>
    <row r="7" spans="1:18">
      <c r="A7" t="s">
        <v>19</v>
      </c>
      <c r="B7" t="s">
        <v>16</v>
      </c>
      <c r="C7" t="s">
        <v>12</v>
      </c>
      <c r="D7" s="4">
        <v>2713.34</v>
      </c>
      <c r="E7">
        <v>42</v>
      </c>
      <c r="F7" s="4">
        <v>64.010000000000005</v>
      </c>
      <c r="G7" s="5">
        <v>0.23499999999999999</v>
      </c>
      <c r="H7" s="5">
        <v>1.4E-2</v>
      </c>
      <c r="I7">
        <v>2</v>
      </c>
      <c r="J7">
        <v>46</v>
      </c>
      <c r="L7">
        <v>-1.3103817555250041</v>
      </c>
      <c r="M7">
        <v>-1.1013722477224988</v>
      </c>
      <c r="N7">
        <v>-0.50836383045830491</v>
      </c>
      <c r="O7">
        <v>0.4772997745427317</v>
      </c>
      <c r="P7">
        <v>-7.419969250613502E-2</v>
      </c>
      <c r="Q7">
        <v>3.0542377631989139</v>
      </c>
      <c r="R7">
        <v>0.94478997218471561</v>
      </c>
    </row>
    <row r="8" spans="1:18">
      <c r="A8" t="s">
        <v>20</v>
      </c>
      <c r="B8" t="s">
        <v>21</v>
      </c>
      <c r="C8" t="s">
        <v>14</v>
      </c>
      <c r="D8" s="4">
        <v>3104.7</v>
      </c>
      <c r="E8">
        <v>42</v>
      </c>
      <c r="F8" s="4">
        <v>93.65</v>
      </c>
      <c r="G8" s="5">
        <v>0.221</v>
      </c>
      <c r="H8" s="5">
        <v>9.0999999999999998E-2</v>
      </c>
      <c r="I8">
        <v>1</v>
      </c>
      <c r="J8">
        <v>31</v>
      </c>
      <c r="L8">
        <v>-0.33592805686202654</v>
      </c>
      <c r="M8">
        <v>1.3608600260718715</v>
      </c>
      <c r="N8">
        <v>-1.1145362131338621</v>
      </c>
      <c r="O8">
        <v>1.4762993026554263</v>
      </c>
      <c r="P8">
        <v>-0.12556871039499784</v>
      </c>
      <c r="Q8">
        <v>-0.25758631737822169</v>
      </c>
      <c r="R8">
        <v>-0.67609203531009676</v>
      </c>
    </row>
    <row r="9" spans="1:18">
      <c r="A9" t="s">
        <v>22</v>
      </c>
      <c r="B9" t="s">
        <v>21</v>
      </c>
      <c r="C9" t="s">
        <v>23</v>
      </c>
      <c r="D9" s="4">
        <v>3114.84</v>
      </c>
      <c r="E9">
        <v>20</v>
      </c>
      <c r="F9" s="4">
        <v>147.24</v>
      </c>
      <c r="G9" s="5">
        <v>9.0999999999999998E-2</v>
      </c>
      <c r="H9" s="5">
        <v>3.5999999999999997E-2</v>
      </c>
      <c r="I9">
        <v>1</v>
      </c>
      <c r="J9">
        <v>14</v>
      </c>
      <c r="L9">
        <v>0.21257304321208076</v>
      </c>
      <c r="M9">
        <v>1.8831517205131016</v>
      </c>
      <c r="N9">
        <v>-0.82563186229985663</v>
      </c>
      <c r="O9">
        <v>1.3297793718655642</v>
      </c>
      <c r="P9">
        <v>2.8538343271588473E-3</v>
      </c>
      <c r="Q9">
        <v>-1.0855423375225055</v>
      </c>
      <c r="R9">
        <v>-0.86240031203363843</v>
      </c>
    </row>
    <row r="10" spans="1:18">
      <c r="A10" t="s">
        <v>24</v>
      </c>
      <c r="B10" t="s">
        <v>16</v>
      </c>
      <c r="C10" t="s">
        <v>14</v>
      </c>
      <c r="D10" s="4">
        <v>875</v>
      </c>
      <c r="E10">
        <v>6</v>
      </c>
      <c r="F10" s="4">
        <v>166.83</v>
      </c>
      <c r="G10" s="5">
        <v>0.13900000000000001</v>
      </c>
      <c r="H10" s="5">
        <v>8.3000000000000004E-2</v>
      </c>
      <c r="I10">
        <v>1</v>
      </c>
      <c r="J10">
        <v>28</v>
      </c>
      <c r="L10">
        <v>1.4992195427601547</v>
      </c>
      <c r="M10">
        <v>0.83856833163064148</v>
      </c>
      <c r="N10">
        <v>3.6006117279025239E-3</v>
      </c>
      <c r="O10">
        <v>-1.1876994389784257</v>
      </c>
      <c r="P10">
        <v>-1.7180082649497437</v>
      </c>
      <c r="Q10">
        <v>-0.25758631737822169</v>
      </c>
      <c r="R10">
        <v>-1.1232318994465966</v>
      </c>
    </row>
    <row r="11" spans="1:18">
      <c r="A11" t="s">
        <v>25</v>
      </c>
      <c r="B11" t="s">
        <v>21</v>
      </c>
      <c r="C11" t="s">
        <v>26</v>
      </c>
      <c r="D11" s="4">
        <v>3462.27</v>
      </c>
      <c r="E11">
        <v>21</v>
      </c>
      <c r="F11" s="4">
        <v>159.01</v>
      </c>
      <c r="G11" s="5">
        <v>0.14699999999999999</v>
      </c>
      <c r="H11" s="5">
        <v>8.5999999999999993E-2</v>
      </c>
      <c r="I11">
        <v>1</v>
      </c>
      <c r="J11">
        <v>31</v>
      </c>
    </row>
    <row r="12" spans="1:18">
      <c r="A12" t="s">
        <v>27</v>
      </c>
      <c r="B12" t="s">
        <v>21</v>
      </c>
      <c r="C12" t="s">
        <v>26</v>
      </c>
      <c r="D12" s="4">
        <v>1711.9</v>
      </c>
      <c r="E12">
        <v>26</v>
      </c>
      <c r="F12" s="4">
        <v>60.72</v>
      </c>
      <c r="G12" s="5">
        <v>0.23</v>
      </c>
      <c r="H12" s="5">
        <v>6.5000000000000002E-2</v>
      </c>
      <c r="I12">
        <v>2</v>
      </c>
      <c r="J12">
        <v>38</v>
      </c>
      <c r="L12" t="e" cm="1" vm="3">
        <f t="array" ref="L12">_xlfn._xlws.PY(3,0)</f>
        <v>#VALUE!</v>
      </c>
    </row>
    <row r="13" spans="1:18">
      <c r="A13" t="s">
        <v>28</v>
      </c>
      <c r="B13" t="s">
        <v>21</v>
      </c>
      <c r="C13" t="s">
        <v>14</v>
      </c>
      <c r="D13" s="4">
        <v>435.37</v>
      </c>
      <c r="E13">
        <v>3</v>
      </c>
      <c r="F13" s="4">
        <v>94.83</v>
      </c>
      <c r="G13" s="5">
        <v>0.22500000000000001</v>
      </c>
      <c r="H13" s="5">
        <v>0.14000000000000001</v>
      </c>
      <c r="I13">
        <v>3</v>
      </c>
      <c r="J13">
        <v>126</v>
      </c>
    </row>
    <row r="14" spans="1:18">
      <c r="A14" t="s">
        <v>29</v>
      </c>
      <c r="B14" t="s">
        <v>11</v>
      </c>
      <c r="C14" t="s">
        <v>26</v>
      </c>
      <c r="D14" s="4">
        <v>1942.3</v>
      </c>
      <c r="E14">
        <v>4</v>
      </c>
      <c r="F14" s="4">
        <v>377.08</v>
      </c>
      <c r="G14" s="5">
        <v>6.9000000000000006E-2</v>
      </c>
      <c r="H14" s="5">
        <v>4.2000000000000003E-2</v>
      </c>
      <c r="I14">
        <v>0</v>
      </c>
      <c r="J14">
        <v>67</v>
      </c>
    </row>
    <row r="15" spans="1:18">
      <c r="A15" t="s">
        <v>30</v>
      </c>
      <c r="B15" t="s">
        <v>11</v>
      </c>
      <c r="C15" t="s">
        <v>12</v>
      </c>
      <c r="D15" s="4">
        <v>2363.09</v>
      </c>
      <c r="E15">
        <v>36</v>
      </c>
      <c r="F15" s="4">
        <v>74.849999999999994</v>
      </c>
      <c r="G15" s="5">
        <v>0.26400000000000001</v>
      </c>
      <c r="H15" s="5">
        <v>4.2999999999999997E-2</v>
      </c>
      <c r="I15">
        <v>0</v>
      </c>
      <c r="J15">
        <v>18</v>
      </c>
    </row>
    <row r="16" spans="1:18">
      <c r="A16" t="s">
        <v>31</v>
      </c>
      <c r="B16" t="s">
        <v>11</v>
      </c>
      <c r="C16" t="s">
        <v>12</v>
      </c>
      <c r="D16" s="4">
        <v>1770.22</v>
      </c>
      <c r="E16">
        <v>21</v>
      </c>
      <c r="F16" s="4">
        <v>74.69</v>
      </c>
      <c r="G16" s="5">
        <v>0.246</v>
      </c>
      <c r="H16" s="5">
        <v>6.6000000000000003E-2</v>
      </c>
      <c r="I16">
        <v>1</v>
      </c>
      <c r="J16">
        <v>71</v>
      </c>
    </row>
    <row r="17" spans="1:12">
      <c r="A17" t="s">
        <v>32</v>
      </c>
      <c r="B17" t="s">
        <v>16</v>
      </c>
      <c r="C17" t="s">
        <v>26</v>
      </c>
      <c r="D17" s="4">
        <v>2144.98</v>
      </c>
      <c r="E17">
        <v>8</v>
      </c>
      <c r="F17" s="4">
        <v>249.92</v>
      </c>
      <c r="G17" s="5">
        <v>0.10299999999999999</v>
      </c>
      <c r="H17" s="5">
        <v>6.3E-2</v>
      </c>
      <c r="I17">
        <v>2</v>
      </c>
      <c r="J17">
        <v>65</v>
      </c>
    </row>
    <row r="18" spans="1:12">
      <c r="A18" t="s">
        <v>33</v>
      </c>
      <c r="B18" t="s">
        <v>11</v>
      </c>
      <c r="C18" t="s">
        <v>12</v>
      </c>
      <c r="D18" s="4">
        <v>2109.9899999999998</v>
      </c>
      <c r="E18">
        <v>33</v>
      </c>
      <c r="F18" s="4">
        <v>85.55</v>
      </c>
      <c r="G18" s="5">
        <v>0.26700000000000002</v>
      </c>
      <c r="H18" s="5">
        <v>5.5E-2</v>
      </c>
      <c r="I18">
        <v>3</v>
      </c>
      <c r="J18">
        <v>42</v>
      </c>
    </row>
    <row r="19" spans="1:12">
      <c r="A19" t="s">
        <v>34</v>
      </c>
      <c r="B19" t="s">
        <v>35</v>
      </c>
      <c r="C19" t="s">
        <v>12</v>
      </c>
      <c r="D19" s="4">
        <v>608.36</v>
      </c>
      <c r="E19">
        <v>4</v>
      </c>
      <c r="F19" s="4">
        <v>131.81</v>
      </c>
      <c r="G19" s="5">
        <v>0.19500000000000001</v>
      </c>
      <c r="H19" s="5">
        <v>0.15</v>
      </c>
      <c r="I19">
        <v>4</v>
      </c>
      <c r="J19">
        <v>192</v>
      </c>
    </row>
    <row r="20" spans="1:12">
      <c r="A20" t="s">
        <v>36</v>
      </c>
      <c r="B20" t="s">
        <v>11</v>
      </c>
      <c r="C20" t="s">
        <v>23</v>
      </c>
      <c r="D20" s="4">
        <v>2899.41</v>
      </c>
      <c r="E20">
        <v>35</v>
      </c>
      <c r="F20" s="4">
        <v>76.739999999999995</v>
      </c>
      <c r="G20" s="5">
        <v>0.21299999999999999</v>
      </c>
      <c r="H20" s="5">
        <v>9.7000000000000003E-2</v>
      </c>
      <c r="I20">
        <v>1</v>
      </c>
      <c r="J20">
        <v>45</v>
      </c>
    </row>
    <row r="21" spans="1:12">
      <c r="A21" t="s">
        <v>37</v>
      </c>
      <c r="B21" t="s">
        <v>35</v>
      </c>
      <c r="C21" t="s">
        <v>14</v>
      </c>
      <c r="D21" s="4">
        <v>473.86</v>
      </c>
      <c r="E21">
        <v>3</v>
      </c>
      <c r="F21" s="4">
        <v>141.78</v>
      </c>
      <c r="G21" s="5">
        <v>0.16</v>
      </c>
      <c r="H21" s="5">
        <v>0.14499999999999999</v>
      </c>
      <c r="I21">
        <v>1</v>
      </c>
      <c r="J21">
        <v>184</v>
      </c>
    </row>
    <row r="22" spans="1:12">
      <c r="A22" t="s">
        <v>38</v>
      </c>
      <c r="B22" t="s">
        <v>16</v>
      </c>
      <c r="C22" t="s">
        <v>26</v>
      </c>
      <c r="D22" s="4">
        <v>437.71</v>
      </c>
      <c r="E22">
        <v>2</v>
      </c>
      <c r="F22" s="4">
        <v>143.09</v>
      </c>
      <c r="G22" s="5">
        <v>0.22600000000000001</v>
      </c>
      <c r="H22" s="5">
        <v>0.115</v>
      </c>
      <c r="I22">
        <v>2</v>
      </c>
      <c r="J22">
        <v>140</v>
      </c>
    </row>
    <row r="23" spans="1:12">
      <c r="A23" t="s">
        <v>39</v>
      </c>
      <c r="B23" t="s">
        <v>21</v>
      </c>
      <c r="C23" t="s">
        <v>14</v>
      </c>
      <c r="D23" s="4">
        <v>1875.6</v>
      </c>
      <c r="E23">
        <v>6</v>
      </c>
      <c r="F23" s="4">
        <v>276.25</v>
      </c>
      <c r="G23" s="5">
        <v>0.11700000000000001</v>
      </c>
      <c r="H23" s="5">
        <v>5.8999999999999997E-2</v>
      </c>
      <c r="I23">
        <v>3</v>
      </c>
      <c r="J23">
        <v>57</v>
      </c>
    </row>
    <row r="24" spans="1:12">
      <c r="A24" t="s">
        <v>40</v>
      </c>
      <c r="B24" t="s">
        <v>35</v>
      </c>
      <c r="C24" t="s">
        <v>12</v>
      </c>
      <c r="D24" s="4">
        <v>2770.97</v>
      </c>
      <c r="E24">
        <v>38</v>
      </c>
      <c r="F24" s="4">
        <v>72.459999999999994</v>
      </c>
      <c r="G24" s="5">
        <v>0.221</v>
      </c>
      <c r="H24" s="5">
        <v>6.2E-2</v>
      </c>
      <c r="I24">
        <v>2</v>
      </c>
      <c r="J24">
        <v>34</v>
      </c>
    </row>
    <row r="25" spans="1:12">
      <c r="A25" t="s">
        <v>41</v>
      </c>
      <c r="B25" t="s">
        <v>16</v>
      </c>
      <c r="C25" t="s">
        <v>26</v>
      </c>
      <c r="D25" s="4">
        <v>3628.31</v>
      </c>
      <c r="E25">
        <v>34</v>
      </c>
      <c r="F25" s="4">
        <v>84.46</v>
      </c>
      <c r="G25" s="5">
        <v>0.11700000000000001</v>
      </c>
      <c r="H25" s="5">
        <v>4.9000000000000002E-2</v>
      </c>
      <c r="I25">
        <v>0</v>
      </c>
      <c r="J25">
        <v>13</v>
      </c>
    </row>
    <row r="26" spans="1:12">
      <c r="A26" t="s">
        <v>42</v>
      </c>
      <c r="B26" t="s">
        <v>11</v>
      </c>
      <c r="C26" t="s">
        <v>23</v>
      </c>
      <c r="D26" s="4">
        <v>3870.26</v>
      </c>
      <c r="E26">
        <v>24</v>
      </c>
      <c r="F26" s="4">
        <v>144.37</v>
      </c>
      <c r="G26" s="5">
        <v>0.10100000000000001</v>
      </c>
      <c r="H26" s="5">
        <v>4.2000000000000003E-2</v>
      </c>
      <c r="I26">
        <v>3</v>
      </c>
      <c r="J26">
        <v>25</v>
      </c>
    </row>
    <row r="27" spans="1:12">
      <c r="A27" t="s">
        <v>43</v>
      </c>
      <c r="B27" t="s">
        <v>35</v>
      </c>
      <c r="C27" t="s">
        <v>14</v>
      </c>
      <c r="D27" s="4">
        <v>647.64</v>
      </c>
      <c r="E27">
        <v>4</v>
      </c>
      <c r="F27" s="4">
        <v>149.06</v>
      </c>
      <c r="G27" s="5">
        <v>0.14199999999999999</v>
      </c>
      <c r="H27" s="5">
        <v>0.154</v>
      </c>
      <c r="I27">
        <v>3</v>
      </c>
      <c r="J27">
        <v>129</v>
      </c>
    </row>
    <row r="28" spans="1:12">
      <c r="A28" t="s">
        <v>44</v>
      </c>
      <c r="B28" t="s">
        <v>11</v>
      </c>
      <c r="C28" t="s">
        <v>12</v>
      </c>
      <c r="D28" s="4">
        <v>3570.16</v>
      </c>
      <c r="E28">
        <v>43</v>
      </c>
      <c r="F28" s="4">
        <v>87.39</v>
      </c>
      <c r="G28" s="5">
        <v>0.22600000000000001</v>
      </c>
      <c r="H28" s="5">
        <v>6.8000000000000005E-2</v>
      </c>
      <c r="I28">
        <v>3</v>
      </c>
      <c r="J28">
        <v>35</v>
      </c>
    </row>
    <row r="29" spans="1:12">
      <c r="A29" t="s">
        <v>45</v>
      </c>
      <c r="B29" t="s">
        <v>21</v>
      </c>
      <c r="C29" t="s">
        <v>26</v>
      </c>
      <c r="D29" s="4">
        <v>3548.24</v>
      </c>
      <c r="E29">
        <v>24</v>
      </c>
      <c r="F29" s="4">
        <v>133.06</v>
      </c>
      <c r="G29" s="5">
        <v>7.0999999999999994E-2</v>
      </c>
      <c r="H29" s="5">
        <v>1.4E-2</v>
      </c>
      <c r="I29">
        <v>0</v>
      </c>
      <c r="J29">
        <v>35</v>
      </c>
    </row>
    <row r="30" spans="1:12">
      <c r="A30" t="s">
        <v>46</v>
      </c>
      <c r="B30" t="s">
        <v>21</v>
      </c>
      <c r="C30" t="s">
        <v>12</v>
      </c>
      <c r="D30" s="4">
        <v>2152.89</v>
      </c>
      <c r="E30">
        <v>7</v>
      </c>
      <c r="F30" s="4">
        <v>325.52</v>
      </c>
      <c r="G30" s="5">
        <v>6.6000000000000003E-2</v>
      </c>
      <c r="H30" s="5">
        <v>5.3999999999999999E-2</v>
      </c>
      <c r="I30">
        <v>0</v>
      </c>
      <c r="J30">
        <v>59</v>
      </c>
    </row>
    <row r="31" spans="1:12">
      <c r="A31" t="s">
        <v>47</v>
      </c>
      <c r="B31" t="s">
        <v>35</v>
      </c>
      <c r="C31" t="s">
        <v>14</v>
      </c>
      <c r="D31" s="4">
        <v>5375.6</v>
      </c>
      <c r="E31">
        <v>31</v>
      </c>
      <c r="F31" s="4">
        <v>178.32</v>
      </c>
      <c r="G31" s="5">
        <v>4.5999999999999999E-2</v>
      </c>
      <c r="H31" s="5">
        <v>1.6E-2</v>
      </c>
      <c r="I31">
        <v>0</v>
      </c>
      <c r="J31">
        <v>24</v>
      </c>
    </row>
    <row r="32" spans="1:12">
      <c r="A32" t="s">
        <v>48</v>
      </c>
      <c r="B32" t="s">
        <v>11</v>
      </c>
      <c r="C32" t="s">
        <v>26</v>
      </c>
      <c r="D32" s="4">
        <v>4229.6899999999996</v>
      </c>
      <c r="E32">
        <v>28</v>
      </c>
      <c r="F32" s="4">
        <v>155.94</v>
      </c>
      <c r="G32" s="5">
        <v>0.13500000000000001</v>
      </c>
      <c r="H32" s="5">
        <v>1.4999999999999999E-2</v>
      </c>
      <c r="I32">
        <v>0</v>
      </c>
      <c r="J32">
        <v>36</v>
      </c>
      <c r="L32" t="str" cm="1">
        <f t="array" ref="L32:L37">_xlfn._xlws.PY(4,0)</f>
        <v>cluster</v>
      </c>
    </row>
    <row r="33" spans="1:19">
      <c r="A33" t="s">
        <v>49</v>
      </c>
      <c r="B33" t="s">
        <v>16</v>
      </c>
      <c r="C33" t="s">
        <v>23</v>
      </c>
      <c r="D33" s="4">
        <v>2199.92</v>
      </c>
      <c r="E33">
        <v>36</v>
      </c>
      <c r="F33" s="4">
        <v>55.85</v>
      </c>
      <c r="G33" s="5">
        <v>0.21099999999999999</v>
      </c>
      <c r="H33" s="5">
        <v>5.2999999999999999E-2</v>
      </c>
      <c r="I33">
        <v>2</v>
      </c>
      <c r="J33">
        <v>38</v>
      </c>
      <c r="L33">
        <v>1</v>
      </c>
    </row>
    <row r="34" spans="1:19">
      <c r="A34" t="s">
        <v>50</v>
      </c>
      <c r="B34" t="s">
        <v>11</v>
      </c>
      <c r="C34" t="s">
        <v>14</v>
      </c>
      <c r="D34" s="4">
        <v>591.46</v>
      </c>
      <c r="E34">
        <v>4</v>
      </c>
      <c r="F34" s="4">
        <v>140.97</v>
      </c>
      <c r="G34" s="5">
        <v>0.188</v>
      </c>
      <c r="H34" s="5">
        <v>0.13600000000000001</v>
      </c>
      <c r="I34">
        <v>3</v>
      </c>
      <c r="J34">
        <v>283</v>
      </c>
      <c r="L34">
        <v>1</v>
      </c>
    </row>
    <row r="35" spans="1:19">
      <c r="A35" t="s">
        <v>51</v>
      </c>
      <c r="B35" t="s">
        <v>16</v>
      </c>
      <c r="C35" t="s">
        <v>14</v>
      </c>
      <c r="D35" s="4">
        <v>2087.3000000000002</v>
      </c>
      <c r="E35">
        <v>7</v>
      </c>
      <c r="F35" s="4">
        <v>284.29000000000002</v>
      </c>
      <c r="G35" s="5">
        <v>0.128</v>
      </c>
      <c r="H35" s="5">
        <v>3.6999999999999998E-2</v>
      </c>
      <c r="I35">
        <v>0</v>
      </c>
      <c r="J35">
        <v>65</v>
      </c>
      <c r="L35">
        <v>2</v>
      </c>
    </row>
    <row r="36" spans="1:19">
      <c r="A36" t="s">
        <v>52</v>
      </c>
      <c r="B36" t="s">
        <v>11</v>
      </c>
      <c r="C36" t="s">
        <v>12</v>
      </c>
      <c r="D36" s="4">
        <v>3012.67</v>
      </c>
      <c r="E36">
        <v>11</v>
      </c>
      <c r="F36" s="4">
        <v>141.49</v>
      </c>
      <c r="G36" s="5">
        <v>8.4000000000000005E-2</v>
      </c>
      <c r="H36" s="5">
        <v>2.1999999999999999E-2</v>
      </c>
      <c r="I36">
        <v>0</v>
      </c>
      <c r="J36">
        <v>22</v>
      </c>
      <c r="L36">
        <v>2</v>
      </c>
    </row>
    <row r="37" spans="1:19">
      <c r="A37" t="s">
        <v>53</v>
      </c>
      <c r="B37" t="s">
        <v>35</v>
      </c>
      <c r="C37" t="s">
        <v>14</v>
      </c>
      <c r="D37" s="4">
        <v>426.52</v>
      </c>
      <c r="E37">
        <v>2</v>
      </c>
      <c r="F37" s="4">
        <v>147.38999999999999</v>
      </c>
      <c r="G37" s="5">
        <v>0.17</v>
      </c>
      <c r="H37" s="5">
        <v>0.14899999999999999</v>
      </c>
      <c r="I37">
        <v>2</v>
      </c>
      <c r="J37">
        <v>160</v>
      </c>
      <c r="L37">
        <v>0</v>
      </c>
    </row>
    <row r="38" spans="1:19">
      <c r="A38" t="s">
        <v>54</v>
      </c>
      <c r="B38" t="s">
        <v>21</v>
      </c>
      <c r="C38" t="s">
        <v>23</v>
      </c>
      <c r="D38" s="4">
        <v>2168.4699999999998</v>
      </c>
      <c r="E38">
        <v>32</v>
      </c>
      <c r="F38" s="4">
        <v>85.93</v>
      </c>
      <c r="G38" s="5">
        <v>0.26900000000000002</v>
      </c>
      <c r="H38" s="5">
        <v>6.9000000000000006E-2</v>
      </c>
      <c r="I38">
        <v>2</v>
      </c>
      <c r="J38">
        <v>35</v>
      </c>
    </row>
    <row r="39" spans="1:19">
      <c r="A39" t="s">
        <v>55</v>
      </c>
      <c r="B39" t="s">
        <v>21</v>
      </c>
      <c r="C39" t="s">
        <v>26</v>
      </c>
      <c r="D39" s="4">
        <v>2153.3000000000002</v>
      </c>
      <c r="E39">
        <v>6</v>
      </c>
      <c r="F39" s="4">
        <v>372.92</v>
      </c>
      <c r="G39" s="5">
        <v>0.13200000000000001</v>
      </c>
      <c r="H39" s="5">
        <v>7.3999999999999996E-2</v>
      </c>
      <c r="I39">
        <v>2</v>
      </c>
      <c r="J39">
        <v>91</v>
      </c>
      <c r="L39" t="str" cm="1">
        <f t="array" ref="L39:S44">_xlfn._xlws.PY(5,0)</f>
        <v/>
      </c>
      <c r="M39" t="str">
        <v>annual_spend</v>
      </c>
      <c r="N39" t="str">
        <v>orders_per_year</v>
      </c>
      <c r="O39" t="str">
        <v>avg_order_value</v>
      </c>
      <c r="P39" t="str">
        <v>discount_rate</v>
      </c>
      <c r="Q39" t="str">
        <v>returns_rate</v>
      </c>
      <c r="R39" t="str">
        <v>support_tickets</v>
      </c>
      <c r="S39" t="str">
        <v>days_since_last_order</v>
      </c>
    </row>
    <row r="40" spans="1:19">
      <c r="A40" t="s">
        <v>56</v>
      </c>
      <c r="B40" t="s">
        <v>35</v>
      </c>
      <c r="C40" t="s">
        <v>23</v>
      </c>
      <c r="D40" s="4">
        <v>2865.61</v>
      </c>
      <c r="E40">
        <v>7</v>
      </c>
      <c r="F40" s="4">
        <v>397.7</v>
      </c>
      <c r="G40" s="5">
        <v>0.154</v>
      </c>
      <c r="H40" s="5">
        <v>7.6999999999999999E-2</v>
      </c>
      <c r="I40">
        <v>1</v>
      </c>
      <c r="J40">
        <v>91</v>
      </c>
      <c r="L40" t="str">
        <v>cluster</v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spans="1:19">
      <c r="A41" t="s">
        <v>57</v>
      </c>
      <c r="B41" t="s">
        <v>16</v>
      </c>
      <c r="C41" t="s">
        <v>23</v>
      </c>
      <c r="D41" s="4">
        <v>4246.1000000000004</v>
      </c>
      <c r="E41">
        <v>32</v>
      </c>
      <c r="F41" s="4">
        <v>145.78</v>
      </c>
      <c r="G41" s="5">
        <v>5.8999999999999997E-2</v>
      </c>
      <c r="H41" s="5">
        <v>2.1999999999999999E-2</v>
      </c>
      <c r="I41">
        <v>1</v>
      </c>
      <c r="J41">
        <v>36</v>
      </c>
      <c r="L41">
        <v>0</v>
      </c>
      <c r="M41">
        <v>4246.88</v>
      </c>
      <c r="N41">
        <v>27.02</v>
      </c>
      <c r="O41">
        <v>153.38</v>
      </c>
      <c r="P41">
        <v>0.08</v>
      </c>
      <c r="Q41">
        <v>0.03</v>
      </c>
      <c r="R41">
        <v>0.73</v>
      </c>
      <c r="S41">
        <v>23.67</v>
      </c>
    </row>
    <row r="42" spans="1:19">
      <c r="A42" t="s">
        <v>58</v>
      </c>
      <c r="B42" t="s">
        <v>21</v>
      </c>
      <c r="C42" t="s">
        <v>12</v>
      </c>
      <c r="D42" s="4">
        <v>520.62</v>
      </c>
      <c r="E42">
        <v>3</v>
      </c>
      <c r="F42" s="4">
        <v>160.38999999999999</v>
      </c>
      <c r="G42" s="5">
        <v>0.22600000000000001</v>
      </c>
      <c r="H42" s="5">
        <v>0.11600000000000001</v>
      </c>
      <c r="I42">
        <v>3</v>
      </c>
      <c r="J42">
        <v>83</v>
      </c>
      <c r="L42">
        <v>1</v>
      </c>
      <c r="M42">
        <v>553.53</v>
      </c>
      <c r="N42">
        <v>3.31</v>
      </c>
      <c r="O42">
        <v>149.35</v>
      </c>
      <c r="P42">
        <v>0.18</v>
      </c>
      <c r="Q42">
        <v>0.12</v>
      </c>
      <c r="R42">
        <v>2.72</v>
      </c>
      <c r="S42">
        <v>150.13</v>
      </c>
    </row>
    <row r="43" spans="1:19">
      <c r="A43" t="s">
        <v>59</v>
      </c>
      <c r="B43" t="s">
        <v>35</v>
      </c>
      <c r="C43" t="s">
        <v>26</v>
      </c>
      <c r="D43" s="4">
        <v>4549.3900000000003</v>
      </c>
      <c r="E43">
        <v>31</v>
      </c>
      <c r="F43" s="4">
        <v>170.85</v>
      </c>
      <c r="G43" s="5">
        <v>0.114</v>
      </c>
      <c r="H43" s="5">
        <v>3.1E-2</v>
      </c>
      <c r="I43">
        <v>0</v>
      </c>
      <c r="J43">
        <v>19</v>
      </c>
      <c r="L43">
        <v>2</v>
      </c>
      <c r="M43">
        <v>2207.59</v>
      </c>
      <c r="N43">
        <v>31.44</v>
      </c>
      <c r="O43">
        <v>71.86</v>
      </c>
      <c r="P43">
        <v>0.24</v>
      </c>
      <c r="Q43">
        <v>0.08</v>
      </c>
      <c r="R43">
        <v>1.33</v>
      </c>
      <c r="S43">
        <v>35.6</v>
      </c>
    </row>
    <row r="44" spans="1:19">
      <c r="A44" t="s">
        <v>60</v>
      </c>
      <c r="B44" t="s">
        <v>11</v>
      </c>
      <c r="C44" t="s">
        <v>14</v>
      </c>
      <c r="D44" s="4">
        <v>448.29</v>
      </c>
      <c r="E44">
        <v>3</v>
      </c>
      <c r="F44" s="4">
        <v>135.32</v>
      </c>
      <c r="G44" s="5">
        <v>0.187</v>
      </c>
      <c r="H44" s="5">
        <v>0.151</v>
      </c>
      <c r="I44">
        <v>4</v>
      </c>
      <c r="J44">
        <v>98</v>
      </c>
      <c r="L44">
        <v>3</v>
      </c>
      <c r="M44">
        <v>2441.38</v>
      </c>
      <c r="N44">
        <v>7.39</v>
      </c>
      <c r="O44">
        <v>324.63</v>
      </c>
      <c r="P44">
        <v>0.1</v>
      </c>
      <c r="Q44">
        <v>0.06</v>
      </c>
      <c r="R44">
        <v>0.59</v>
      </c>
      <c r="S44">
        <v>74.489999999999995</v>
      </c>
    </row>
    <row r="45" spans="1:19">
      <c r="A45" t="s">
        <v>61</v>
      </c>
      <c r="B45" t="s">
        <v>16</v>
      </c>
      <c r="C45" t="s">
        <v>26</v>
      </c>
      <c r="D45" s="4">
        <v>2786.98</v>
      </c>
      <c r="E45">
        <v>11</v>
      </c>
      <c r="F45" s="4">
        <v>186.28</v>
      </c>
      <c r="G45" s="5">
        <v>6.7000000000000004E-2</v>
      </c>
      <c r="H45" s="5">
        <v>6.0999999999999999E-2</v>
      </c>
      <c r="I45">
        <v>1</v>
      </c>
      <c r="J45">
        <v>9</v>
      </c>
    </row>
    <row r="46" spans="1:19">
      <c r="A46" t="s">
        <v>62</v>
      </c>
      <c r="B46" t="s">
        <v>35</v>
      </c>
      <c r="C46" t="s">
        <v>26</v>
      </c>
      <c r="D46" s="4">
        <v>2936.61</v>
      </c>
      <c r="E46">
        <v>19</v>
      </c>
      <c r="F46" s="4">
        <v>134.65</v>
      </c>
      <c r="G46" s="5">
        <v>0.109</v>
      </c>
      <c r="H46" s="5">
        <v>5.0999999999999997E-2</v>
      </c>
      <c r="I46">
        <v>1</v>
      </c>
      <c r="J46">
        <v>29</v>
      </c>
    </row>
    <row r="47" spans="1:19">
      <c r="A47" t="s">
        <v>63</v>
      </c>
      <c r="B47" t="s">
        <v>16</v>
      </c>
      <c r="C47" t="s">
        <v>26</v>
      </c>
      <c r="D47" s="4">
        <v>3153.83</v>
      </c>
      <c r="E47">
        <v>10</v>
      </c>
      <c r="F47" s="4">
        <v>366.61</v>
      </c>
      <c r="G47" s="5">
        <v>0.16900000000000001</v>
      </c>
      <c r="H47" s="5">
        <v>3.7999999999999999E-2</v>
      </c>
      <c r="I47">
        <v>1</v>
      </c>
      <c r="J47">
        <v>76</v>
      </c>
      <c r="L47" t="e" cm="1" vm="4">
        <f t="array" ref="L47">_xlfn._xlws.PY(6,0)</f>
        <v>#VALUE!</v>
      </c>
    </row>
    <row r="48" spans="1:19">
      <c r="A48" t="s">
        <v>64</v>
      </c>
      <c r="B48" t="s">
        <v>21</v>
      </c>
      <c r="C48" t="s">
        <v>14</v>
      </c>
      <c r="D48" s="4">
        <v>621.9</v>
      </c>
      <c r="E48">
        <v>4</v>
      </c>
      <c r="F48" s="4">
        <v>143.01</v>
      </c>
      <c r="G48" s="5">
        <v>0.157</v>
      </c>
      <c r="H48" s="5">
        <v>9.0999999999999998E-2</v>
      </c>
      <c r="I48">
        <v>2</v>
      </c>
      <c r="J48">
        <v>200</v>
      </c>
    </row>
    <row r="49" spans="1:10">
      <c r="A49" t="s">
        <v>65</v>
      </c>
      <c r="B49" t="s">
        <v>35</v>
      </c>
      <c r="C49" t="s">
        <v>12</v>
      </c>
      <c r="D49" s="4">
        <v>3104.21</v>
      </c>
      <c r="E49">
        <v>42</v>
      </c>
      <c r="F49" s="4">
        <v>92.29</v>
      </c>
      <c r="G49" s="5">
        <v>0.24099999999999999</v>
      </c>
      <c r="H49" s="5">
        <v>7.0999999999999994E-2</v>
      </c>
      <c r="I49">
        <v>0</v>
      </c>
      <c r="J49">
        <v>34</v>
      </c>
    </row>
    <row r="50" spans="1:10">
      <c r="A50" t="s">
        <v>66</v>
      </c>
      <c r="B50" t="s">
        <v>11</v>
      </c>
      <c r="C50" t="s">
        <v>12</v>
      </c>
      <c r="D50" s="4">
        <v>2184.4499999999998</v>
      </c>
      <c r="E50">
        <v>43</v>
      </c>
      <c r="F50" s="4">
        <v>57.16</v>
      </c>
      <c r="G50" s="5">
        <v>0.26600000000000001</v>
      </c>
      <c r="H50" s="5">
        <v>7.4999999999999997E-2</v>
      </c>
      <c r="I50">
        <v>0</v>
      </c>
      <c r="J50">
        <v>36</v>
      </c>
    </row>
    <row r="51" spans="1:10">
      <c r="A51" t="s">
        <v>67</v>
      </c>
      <c r="B51" t="s">
        <v>11</v>
      </c>
      <c r="C51" t="s">
        <v>23</v>
      </c>
      <c r="D51" s="4">
        <v>2125.11</v>
      </c>
      <c r="E51">
        <v>4</v>
      </c>
      <c r="F51" s="4">
        <v>324.82</v>
      </c>
      <c r="G51" s="5">
        <v>0.13</v>
      </c>
      <c r="H51" s="5">
        <v>0.05</v>
      </c>
      <c r="I51">
        <v>0</v>
      </c>
      <c r="J51">
        <v>117</v>
      </c>
    </row>
    <row r="52" spans="1:10">
      <c r="A52" t="s">
        <v>68</v>
      </c>
      <c r="B52" t="s">
        <v>16</v>
      </c>
      <c r="C52" t="s">
        <v>23</v>
      </c>
      <c r="D52" s="4">
        <v>5137.8100000000004</v>
      </c>
      <c r="E52">
        <v>30</v>
      </c>
      <c r="F52" s="4">
        <v>168.64</v>
      </c>
      <c r="G52" s="5">
        <v>6.4000000000000001E-2</v>
      </c>
      <c r="H52" s="5">
        <v>0</v>
      </c>
      <c r="I52">
        <v>2</v>
      </c>
      <c r="J52">
        <v>28</v>
      </c>
    </row>
    <row r="53" spans="1:10">
      <c r="A53" t="s">
        <v>69</v>
      </c>
      <c r="B53" t="s">
        <v>35</v>
      </c>
      <c r="C53" t="s">
        <v>12</v>
      </c>
      <c r="D53" s="4">
        <v>2558.79</v>
      </c>
      <c r="E53">
        <v>40</v>
      </c>
      <c r="F53" s="4">
        <v>68.12</v>
      </c>
      <c r="G53" s="5">
        <v>0.21199999999999999</v>
      </c>
      <c r="H53" s="5">
        <v>9.8000000000000004E-2</v>
      </c>
      <c r="I53">
        <v>2</v>
      </c>
      <c r="J53">
        <v>43</v>
      </c>
    </row>
    <row r="54" spans="1:10">
      <c r="A54" t="s">
        <v>70</v>
      </c>
      <c r="B54" t="s">
        <v>11</v>
      </c>
      <c r="C54" t="s">
        <v>12</v>
      </c>
      <c r="D54" s="4">
        <v>2588.8000000000002</v>
      </c>
      <c r="E54">
        <v>37</v>
      </c>
      <c r="F54" s="4">
        <v>69.52</v>
      </c>
      <c r="G54" s="5">
        <v>0.216</v>
      </c>
      <c r="H54" s="5">
        <v>0.04</v>
      </c>
      <c r="I54">
        <v>1</v>
      </c>
      <c r="J54">
        <v>37</v>
      </c>
    </row>
    <row r="55" spans="1:10">
      <c r="A55" t="s">
        <v>71</v>
      </c>
      <c r="B55" t="s">
        <v>16</v>
      </c>
      <c r="C55" t="s">
        <v>12</v>
      </c>
      <c r="D55" s="4">
        <v>2215.6999999999998</v>
      </c>
      <c r="E55">
        <v>30</v>
      </c>
      <c r="F55" s="4">
        <v>65.95</v>
      </c>
      <c r="G55" s="5">
        <v>0.24299999999999999</v>
      </c>
      <c r="H55" s="5">
        <v>4.8000000000000001E-2</v>
      </c>
      <c r="I55">
        <v>2</v>
      </c>
      <c r="J55">
        <v>21</v>
      </c>
    </row>
    <row r="56" spans="1:10">
      <c r="A56" t="s">
        <v>72</v>
      </c>
      <c r="B56" t="s">
        <v>21</v>
      </c>
      <c r="C56" t="s">
        <v>14</v>
      </c>
      <c r="D56" s="4">
        <v>439.68</v>
      </c>
      <c r="E56">
        <v>3</v>
      </c>
      <c r="F56" s="4">
        <v>126.81</v>
      </c>
      <c r="G56" s="5">
        <v>0.219</v>
      </c>
      <c r="H56" s="5">
        <v>0.11</v>
      </c>
      <c r="I56">
        <v>3</v>
      </c>
      <c r="J56">
        <v>157</v>
      </c>
    </row>
    <row r="57" spans="1:10">
      <c r="A57" t="s">
        <v>73</v>
      </c>
      <c r="B57" t="s">
        <v>35</v>
      </c>
      <c r="C57" t="s">
        <v>12</v>
      </c>
      <c r="D57" s="4">
        <v>1551.34</v>
      </c>
      <c r="E57">
        <v>24</v>
      </c>
      <c r="F57" s="4">
        <v>64.900000000000006</v>
      </c>
      <c r="G57" s="5">
        <v>0.309</v>
      </c>
      <c r="H57" s="5">
        <v>7.4999999999999997E-2</v>
      </c>
      <c r="I57">
        <v>2</v>
      </c>
      <c r="J57">
        <v>45</v>
      </c>
    </row>
    <row r="58" spans="1:10">
      <c r="A58" t="s">
        <v>74</v>
      </c>
      <c r="B58" t="s">
        <v>35</v>
      </c>
      <c r="C58" t="s">
        <v>12</v>
      </c>
      <c r="D58" s="4">
        <v>2281.14</v>
      </c>
      <c r="E58">
        <v>30</v>
      </c>
      <c r="F58" s="4">
        <v>78.55</v>
      </c>
      <c r="G58" s="5">
        <v>0.29299999999999998</v>
      </c>
      <c r="H58" s="5">
        <v>0.111</v>
      </c>
      <c r="I58">
        <v>1</v>
      </c>
      <c r="J58">
        <v>45</v>
      </c>
    </row>
    <row r="59" spans="1:10">
      <c r="A59" t="s">
        <v>75</v>
      </c>
      <c r="B59" t="s">
        <v>11</v>
      </c>
      <c r="C59" t="s">
        <v>12</v>
      </c>
      <c r="D59" s="4">
        <v>574.04999999999995</v>
      </c>
      <c r="E59">
        <v>4</v>
      </c>
      <c r="F59" s="4">
        <v>115.66</v>
      </c>
      <c r="G59" s="5">
        <v>0.17499999999999999</v>
      </c>
      <c r="H59" s="5">
        <v>0.1</v>
      </c>
      <c r="I59">
        <v>1</v>
      </c>
      <c r="J59">
        <v>135</v>
      </c>
    </row>
    <row r="60" spans="1:10">
      <c r="A60" t="s">
        <v>76</v>
      </c>
      <c r="B60" t="s">
        <v>16</v>
      </c>
      <c r="C60" t="s">
        <v>23</v>
      </c>
      <c r="D60" s="4">
        <v>2250.4699999999998</v>
      </c>
      <c r="E60">
        <v>31</v>
      </c>
      <c r="F60" s="4">
        <v>65.88</v>
      </c>
      <c r="G60" s="5">
        <v>0.253</v>
      </c>
      <c r="H60" s="5">
        <v>8.2000000000000003E-2</v>
      </c>
      <c r="I60">
        <v>1</v>
      </c>
      <c r="J60">
        <v>46</v>
      </c>
    </row>
    <row r="61" spans="1:10">
      <c r="A61" t="s">
        <v>77</v>
      </c>
      <c r="B61" t="s">
        <v>35</v>
      </c>
      <c r="C61" t="s">
        <v>23</v>
      </c>
      <c r="D61" s="4">
        <v>2412.0300000000002</v>
      </c>
      <c r="E61">
        <v>8</v>
      </c>
      <c r="F61" s="4">
        <v>279.95</v>
      </c>
      <c r="G61" s="5">
        <v>0.122</v>
      </c>
      <c r="H61" s="5">
        <v>5.3999999999999999E-2</v>
      </c>
      <c r="I61">
        <v>0</v>
      </c>
      <c r="J61">
        <v>84</v>
      </c>
    </row>
    <row r="62" spans="1:10">
      <c r="A62" t="s">
        <v>78</v>
      </c>
      <c r="B62" t="s">
        <v>16</v>
      </c>
      <c r="C62" t="s">
        <v>23</v>
      </c>
      <c r="D62" s="4">
        <v>2305.36</v>
      </c>
      <c r="E62">
        <v>45</v>
      </c>
      <c r="F62" s="4">
        <v>67.28</v>
      </c>
      <c r="G62" s="5">
        <v>0.219</v>
      </c>
      <c r="H62" s="5">
        <v>8.5000000000000006E-2</v>
      </c>
      <c r="I62">
        <v>2</v>
      </c>
      <c r="J62">
        <v>32</v>
      </c>
    </row>
    <row r="63" spans="1:10">
      <c r="A63" t="s">
        <v>79</v>
      </c>
      <c r="B63" t="s">
        <v>16</v>
      </c>
      <c r="C63" t="s">
        <v>23</v>
      </c>
      <c r="D63" s="4">
        <v>1400.8</v>
      </c>
      <c r="E63">
        <v>21</v>
      </c>
      <c r="F63" s="4">
        <v>50.35</v>
      </c>
      <c r="G63" s="5">
        <v>0.27500000000000002</v>
      </c>
      <c r="H63" s="5">
        <v>3.9E-2</v>
      </c>
      <c r="I63">
        <v>1</v>
      </c>
      <c r="J63">
        <v>46</v>
      </c>
    </row>
    <row r="64" spans="1:10">
      <c r="A64" t="s">
        <v>80</v>
      </c>
      <c r="B64" t="s">
        <v>11</v>
      </c>
      <c r="C64" t="s">
        <v>23</v>
      </c>
      <c r="D64" s="4">
        <v>1201.1600000000001</v>
      </c>
      <c r="E64">
        <v>15</v>
      </c>
      <c r="F64" s="4">
        <v>74.34</v>
      </c>
      <c r="G64" s="5">
        <v>0.28699999999999998</v>
      </c>
      <c r="H64" s="5">
        <v>9.0999999999999998E-2</v>
      </c>
      <c r="I64">
        <v>0</v>
      </c>
      <c r="J64">
        <v>35</v>
      </c>
    </row>
    <row r="65" spans="1:10">
      <c r="A65" t="s">
        <v>81</v>
      </c>
      <c r="B65" t="s">
        <v>16</v>
      </c>
      <c r="C65" t="s">
        <v>14</v>
      </c>
      <c r="D65" s="4">
        <v>2878.1</v>
      </c>
      <c r="E65">
        <v>41</v>
      </c>
      <c r="F65" s="4">
        <v>80.3</v>
      </c>
      <c r="G65" s="5">
        <v>0.186</v>
      </c>
      <c r="H65" s="5">
        <v>5.7000000000000002E-2</v>
      </c>
      <c r="I65">
        <v>0</v>
      </c>
      <c r="J65">
        <v>39</v>
      </c>
    </row>
    <row r="66" spans="1:10">
      <c r="A66" t="s">
        <v>82</v>
      </c>
      <c r="B66" t="s">
        <v>21</v>
      </c>
      <c r="C66" t="s">
        <v>12</v>
      </c>
      <c r="D66" s="4">
        <v>2231.75</v>
      </c>
      <c r="E66">
        <v>33</v>
      </c>
      <c r="F66" s="4">
        <v>71.03</v>
      </c>
      <c r="G66" s="5">
        <v>0.27700000000000002</v>
      </c>
      <c r="H66" s="5">
        <v>6.6000000000000003E-2</v>
      </c>
      <c r="I66">
        <v>1</v>
      </c>
      <c r="J66">
        <v>49</v>
      </c>
    </row>
    <row r="67" spans="1:10">
      <c r="A67" t="s">
        <v>83</v>
      </c>
      <c r="B67" t="s">
        <v>35</v>
      </c>
      <c r="C67" t="s">
        <v>14</v>
      </c>
      <c r="D67" s="4">
        <v>2463.67</v>
      </c>
      <c r="E67">
        <v>8</v>
      </c>
      <c r="F67" s="4">
        <v>294.24</v>
      </c>
      <c r="G67" s="5">
        <v>5.2999999999999999E-2</v>
      </c>
      <c r="H67" s="5">
        <v>7.0000000000000007E-2</v>
      </c>
      <c r="I67">
        <v>2</v>
      </c>
      <c r="J67">
        <v>72</v>
      </c>
    </row>
    <row r="68" spans="1:10">
      <c r="A68" t="s">
        <v>84</v>
      </c>
      <c r="B68" t="s">
        <v>35</v>
      </c>
      <c r="C68" t="s">
        <v>12</v>
      </c>
      <c r="D68" s="4">
        <v>2381.44</v>
      </c>
      <c r="E68">
        <v>29</v>
      </c>
      <c r="F68" s="4">
        <v>78.5</v>
      </c>
      <c r="G68" s="5">
        <v>0.27800000000000002</v>
      </c>
      <c r="H68" s="5">
        <v>7.4999999999999997E-2</v>
      </c>
      <c r="I68">
        <v>0</v>
      </c>
      <c r="J68">
        <v>32</v>
      </c>
    </row>
    <row r="69" spans="1:10">
      <c r="A69" t="s">
        <v>85</v>
      </c>
      <c r="B69" t="s">
        <v>21</v>
      </c>
      <c r="C69" t="s">
        <v>23</v>
      </c>
      <c r="D69" s="4">
        <v>4720.01</v>
      </c>
      <c r="E69">
        <v>31</v>
      </c>
      <c r="F69" s="4">
        <v>155.15</v>
      </c>
      <c r="G69" s="5">
        <v>5.5E-2</v>
      </c>
      <c r="H69" s="5">
        <v>4.4999999999999998E-2</v>
      </c>
      <c r="I69">
        <v>1</v>
      </c>
      <c r="J69">
        <v>42</v>
      </c>
    </row>
    <row r="70" spans="1:10">
      <c r="A70" t="s">
        <v>86</v>
      </c>
      <c r="B70" t="s">
        <v>11</v>
      </c>
      <c r="C70" t="s">
        <v>23</v>
      </c>
      <c r="D70" s="4">
        <v>2143.6999999999998</v>
      </c>
      <c r="E70">
        <v>8</v>
      </c>
      <c r="F70" s="4">
        <v>303.89999999999998</v>
      </c>
      <c r="G70" s="5">
        <v>7.2999999999999995E-2</v>
      </c>
      <c r="H70" s="5">
        <v>2.9000000000000001E-2</v>
      </c>
      <c r="I70">
        <v>1</v>
      </c>
      <c r="J70">
        <v>79</v>
      </c>
    </row>
    <row r="71" spans="1:10">
      <c r="A71" t="s">
        <v>87</v>
      </c>
      <c r="B71" t="s">
        <v>11</v>
      </c>
      <c r="C71" t="s">
        <v>14</v>
      </c>
      <c r="D71" s="4">
        <v>611.19000000000005</v>
      </c>
      <c r="E71">
        <v>3</v>
      </c>
      <c r="F71" s="4">
        <v>185.72</v>
      </c>
      <c r="G71" s="5">
        <v>0.155</v>
      </c>
      <c r="H71" s="5">
        <v>0.13200000000000001</v>
      </c>
      <c r="I71">
        <v>3</v>
      </c>
      <c r="J71">
        <v>192</v>
      </c>
    </row>
    <row r="72" spans="1:10">
      <c r="A72" t="s">
        <v>88</v>
      </c>
      <c r="B72" t="s">
        <v>21</v>
      </c>
      <c r="C72" t="s">
        <v>12</v>
      </c>
      <c r="D72" s="4">
        <v>2585.0700000000002</v>
      </c>
      <c r="E72">
        <v>35</v>
      </c>
      <c r="F72" s="4">
        <v>83.89</v>
      </c>
      <c r="G72" s="5">
        <v>0.249</v>
      </c>
      <c r="H72" s="5">
        <v>7.8E-2</v>
      </c>
      <c r="I72">
        <v>1</v>
      </c>
      <c r="J72">
        <v>42</v>
      </c>
    </row>
    <row r="73" spans="1:10">
      <c r="A73" t="s">
        <v>89</v>
      </c>
      <c r="B73" t="s">
        <v>16</v>
      </c>
      <c r="C73" t="s">
        <v>26</v>
      </c>
      <c r="D73" s="4">
        <v>2728.18</v>
      </c>
      <c r="E73">
        <v>8</v>
      </c>
      <c r="F73" s="4">
        <v>295.76</v>
      </c>
      <c r="G73" s="5">
        <v>4.3999999999999997E-2</v>
      </c>
      <c r="H73" s="5">
        <v>3.5000000000000003E-2</v>
      </c>
      <c r="I73">
        <v>0</v>
      </c>
      <c r="J73">
        <v>69</v>
      </c>
    </row>
    <row r="74" spans="1:10">
      <c r="A74" t="s">
        <v>90</v>
      </c>
      <c r="B74" t="s">
        <v>21</v>
      </c>
      <c r="C74" t="s">
        <v>12</v>
      </c>
      <c r="D74" s="4">
        <v>281.77999999999997</v>
      </c>
      <c r="E74">
        <v>1</v>
      </c>
      <c r="F74" s="4">
        <v>164.31</v>
      </c>
      <c r="G74" s="5">
        <v>0.193</v>
      </c>
      <c r="H74" s="5">
        <v>0.112</v>
      </c>
      <c r="I74">
        <v>0</v>
      </c>
      <c r="J74">
        <v>122</v>
      </c>
    </row>
    <row r="75" spans="1:10">
      <c r="A75" t="s">
        <v>91</v>
      </c>
      <c r="B75" t="s">
        <v>16</v>
      </c>
      <c r="C75" t="s">
        <v>14</v>
      </c>
      <c r="D75" s="4">
        <v>666.86</v>
      </c>
      <c r="E75">
        <v>4</v>
      </c>
      <c r="F75" s="4">
        <v>174.44</v>
      </c>
      <c r="G75" s="5">
        <v>0.19600000000000001</v>
      </c>
      <c r="H75" s="5">
        <v>0.11600000000000001</v>
      </c>
      <c r="I75">
        <v>4</v>
      </c>
      <c r="J75">
        <v>170</v>
      </c>
    </row>
    <row r="76" spans="1:10">
      <c r="A76" t="s">
        <v>92</v>
      </c>
      <c r="B76" t="s">
        <v>35</v>
      </c>
      <c r="C76" t="s">
        <v>12</v>
      </c>
      <c r="D76" s="4">
        <v>2113.6999999999998</v>
      </c>
      <c r="E76">
        <v>10</v>
      </c>
      <c r="F76" s="4">
        <v>193.99</v>
      </c>
      <c r="G76" s="5">
        <v>6.7000000000000004E-2</v>
      </c>
      <c r="H76" s="5">
        <v>0.10199999999999999</v>
      </c>
      <c r="I76">
        <v>1</v>
      </c>
      <c r="J76">
        <v>84</v>
      </c>
    </row>
    <row r="77" spans="1:10">
      <c r="A77" t="s">
        <v>93</v>
      </c>
      <c r="B77" t="s">
        <v>35</v>
      </c>
      <c r="C77" t="s">
        <v>12</v>
      </c>
      <c r="D77" s="4">
        <v>2225.41</v>
      </c>
      <c r="E77">
        <v>29</v>
      </c>
      <c r="F77" s="4">
        <v>76.650000000000006</v>
      </c>
      <c r="G77" s="5">
        <v>0.17</v>
      </c>
      <c r="H77" s="5">
        <v>0.105</v>
      </c>
      <c r="I77">
        <v>0</v>
      </c>
      <c r="J77">
        <v>36</v>
      </c>
    </row>
    <row r="78" spans="1:10">
      <c r="A78" t="s">
        <v>94</v>
      </c>
      <c r="B78" t="s">
        <v>21</v>
      </c>
      <c r="C78" t="s">
        <v>14</v>
      </c>
      <c r="D78" s="4">
        <v>1609.83</v>
      </c>
      <c r="E78">
        <v>21</v>
      </c>
      <c r="F78" s="4">
        <v>63.59</v>
      </c>
      <c r="G78" s="5">
        <v>0.21</v>
      </c>
      <c r="H78" s="5">
        <v>9.8000000000000004E-2</v>
      </c>
      <c r="I78">
        <v>0</v>
      </c>
      <c r="J78">
        <v>25</v>
      </c>
    </row>
    <row r="79" spans="1:10">
      <c r="A79" t="s">
        <v>95</v>
      </c>
      <c r="B79" t="s">
        <v>16</v>
      </c>
      <c r="C79" t="s">
        <v>14</v>
      </c>
      <c r="D79" s="4">
        <v>2447.81</v>
      </c>
      <c r="E79">
        <v>7</v>
      </c>
      <c r="F79" s="4">
        <v>272.27</v>
      </c>
      <c r="G79" s="5">
        <v>8.6999999999999994E-2</v>
      </c>
      <c r="H79" s="5">
        <v>5.1999999999999998E-2</v>
      </c>
      <c r="I79">
        <v>0</v>
      </c>
      <c r="J79">
        <v>70</v>
      </c>
    </row>
    <row r="80" spans="1:10">
      <c r="A80" t="s">
        <v>96</v>
      </c>
      <c r="B80" t="s">
        <v>21</v>
      </c>
      <c r="C80" t="s">
        <v>23</v>
      </c>
      <c r="D80" s="4">
        <v>8795.32</v>
      </c>
      <c r="E80">
        <v>50</v>
      </c>
      <c r="F80" s="4">
        <v>188.18</v>
      </c>
      <c r="G80" s="5">
        <v>6.5000000000000002E-2</v>
      </c>
      <c r="H80" s="5">
        <v>4.3999999999999997E-2</v>
      </c>
      <c r="I80">
        <v>0</v>
      </c>
      <c r="J80">
        <v>18</v>
      </c>
    </row>
    <row r="81" spans="1:10">
      <c r="A81" t="s">
        <v>97</v>
      </c>
      <c r="B81" t="s">
        <v>16</v>
      </c>
      <c r="C81" t="s">
        <v>23</v>
      </c>
      <c r="D81" s="4">
        <v>3720.1</v>
      </c>
      <c r="E81">
        <v>24</v>
      </c>
      <c r="F81" s="4">
        <v>154.24</v>
      </c>
      <c r="G81" s="5">
        <v>3.7999999999999999E-2</v>
      </c>
      <c r="H81" s="5">
        <v>4.9000000000000002E-2</v>
      </c>
      <c r="I81">
        <v>0</v>
      </c>
      <c r="J81">
        <v>16</v>
      </c>
    </row>
    <row r="82" spans="1:10">
      <c r="A82" t="s">
        <v>98</v>
      </c>
      <c r="B82" t="s">
        <v>21</v>
      </c>
      <c r="C82" t="s">
        <v>12</v>
      </c>
      <c r="D82" s="4">
        <v>649.6</v>
      </c>
      <c r="E82">
        <v>3</v>
      </c>
      <c r="F82" s="4">
        <v>185.12</v>
      </c>
      <c r="G82" s="5">
        <v>0.129</v>
      </c>
      <c r="H82" s="5">
        <v>9.8000000000000004E-2</v>
      </c>
      <c r="I82">
        <v>4</v>
      </c>
      <c r="J82">
        <v>210</v>
      </c>
    </row>
    <row r="83" spans="1:10">
      <c r="A83" t="s">
        <v>99</v>
      </c>
      <c r="B83" t="s">
        <v>21</v>
      </c>
      <c r="C83" t="s">
        <v>14</v>
      </c>
      <c r="D83" s="4">
        <v>671.21</v>
      </c>
      <c r="E83">
        <v>5</v>
      </c>
      <c r="F83" s="4">
        <v>120.94</v>
      </c>
      <c r="G83" s="5">
        <v>0.182</v>
      </c>
      <c r="H83" s="5">
        <v>9.9000000000000005E-2</v>
      </c>
      <c r="I83">
        <v>2</v>
      </c>
      <c r="J83">
        <v>112</v>
      </c>
    </row>
    <row r="84" spans="1:10">
      <c r="A84" t="s">
        <v>100</v>
      </c>
      <c r="B84" t="s">
        <v>11</v>
      </c>
      <c r="C84" t="s">
        <v>26</v>
      </c>
      <c r="D84" s="4">
        <v>3990.33</v>
      </c>
      <c r="E84">
        <v>23</v>
      </c>
      <c r="F84" s="4">
        <v>146.6</v>
      </c>
      <c r="G84" s="5">
        <v>2.9000000000000001E-2</v>
      </c>
      <c r="H84" s="5">
        <v>1.9E-2</v>
      </c>
      <c r="I84">
        <v>1</v>
      </c>
      <c r="J84">
        <v>33</v>
      </c>
    </row>
    <row r="85" spans="1:10">
      <c r="A85" t="s">
        <v>101</v>
      </c>
      <c r="B85" t="s">
        <v>21</v>
      </c>
      <c r="C85" t="s">
        <v>14</v>
      </c>
      <c r="D85" s="4">
        <v>1839.61</v>
      </c>
      <c r="E85">
        <v>5</v>
      </c>
      <c r="F85" s="4">
        <v>379.06</v>
      </c>
      <c r="G85" s="5">
        <v>0.13400000000000001</v>
      </c>
      <c r="H85" s="5">
        <v>5.6000000000000001E-2</v>
      </c>
      <c r="I85">
        <v>0</v>
      </c>
      <c r="J85">
        <v>93</v>
      </c>
    </row>
    <row r="86" spans="1:10">
      <c r="A86" t="s">
        <v>102</v>
      </c>
      <c r="B86" t="s">
        <v>11</v>
      </c>
      <c r="C86" t="s">
        <v>14</v>
      </c>
      <c r="D86" s="4">
        <v>1563.05</v>
      </c>
      <c r="E86">
        <v>21</v>
      </c>
      <c r="F86" s="4">
        <v>77.349999999999994</v>
      </c>
      <c r="G86" s="5">
        <v>0.30299999999999999</v>
      </c>
      <c r="H86" s="5">
        <v>8.7999999999999995E-2</v>
      </c>
      <c r="I86">
        <v>2</v>
      </c>
      <c r="J86">
        <v>32</v>
      </c>
    </row>
    <row r="87" spans="1:10">
      <c r="A87" t="s">
        <v>103</v>
      </c>
      <c r="B87" t="s">
        <v>35</v>
      </c>
      <c r="C87" t="s">
        <v>23</v>
      </c>
      <c r="D87" s="4">
        <v>2137.56</v>
      </c>
      <c r="E87">
        <v>24</v>
      </c>
      <c r="F87" s="4">
        <v>92.42</v>
      </c>
      <c r="G87" s="5">
        <v>0.28399999999999997</v>
      </c>
      <c r="H87" s="5">
        <v>0.115</v>
      </c>
      <c r="I87">
        <v>2</v>
      </c>
      <c r="J87">
        <v>37</v>
      </c>
    </row>
    <row r="88" spans="1:10">
      <c r="A88" t="s">
        <v>104</v>
      </c>
      <c r="B88" t="s">
        <v>11</v>
      </c>
      <c r="C88" t="s">
        <v>23</v>
      </c>
      <c r="D88" s="4">
        <v>3112.36</v>
      </c>
      <c r="E88">
        <v>7</v>
      </c>
      <c r="F88" s="4">
        <v>439.26</v>
      </c>
      <c r="G88" s="5">
        <v>8.7999999999999995E-2</v>
      </c>
      <c r="H88" s="5">
        <v>7.6999999999999999E-2</v>
      </c>
      <c r="I88">
        <v>1</v>
      </c>
      <c r="J88">
        <v>92</v>
      </c>
    </row>
    <row r="89" spans="1:10">
      <c r="A89" t="s">
        <v>105</v>
      </c>
      <c r="B89" t="s">
        <v>21</v>
      </c>
      <c r="C89" t="s">
        <v>12</v>
      </c>
      <c r="D89" s="4">
        <v>2459.4</v>
      </c>
      <c r="E89">
        <v>7</v>
      </c>
      <c r="F89" s="4">
        <v>384.59</v>
      </c>
      <c r="G89" s="5">
        <v>8.7999999999999995E-2</v>
      </c>
      <c r="H89" s="5">
        <v>7.6999999999999999E-2</v>
      </c>
      <c r="I89">
        <v>0</v>
      </c>
      <c r="J89">
        <v>53</v>
      </c>
    </row>
    <row r="90" spans="1:10">
      <c r="A90" t="s">
        <v>106</v>
      </c>
      <c r="B90" t="s">
        <v>21</v>
      </c>
      <c r="C90" t="s">
        <v>14</v>
      </c>
      <c r="D90" s="4">
        <v>296.45999999999998</v>
      </c>
      <c r="E90">
        <v>1</v>
      </c>
      <c r="F90" s="4">
        <v>112.08</v>
      </c>
      <c r="G90" s="5">
        <v>0.219</v>
      </c>
      <c r="H90" s="5">
        <v>0.112</v>
      </c>
      <c r="I90">
        <v>3</v>
      </c>
      <c r="J90">
        <v>89</v>
      </c>
    </row>
    <row r="91" spans="1:10">
      <c r="A91" t="s">
        <v>107</v>
      </c>
      <c r="B91" t="s">
        <v>35</v>
      </c>
      <c r="C91" t="s">
        <v>12</v>
      </c>
      <c r="D91" s="4">
        <v>708.29</v>
      </c>
      <c r="E91">
        <v>5</v>
      </c>
      <c r="F91" s="4">
        <v>148.43</v>
      </c>
      <c r="G91" s="5">
        <v>0.19900000000000001</v>
      </c>
      <c r="H91" s="5">
        <v>9.1999999999999998E-2</v>
      </c>
      <c r="I91">
        <v>3</v>
      </c>
      <c r="J91">
        <v>184</v>
      </c>
    </row>
    <row r="92" spans="1:10">
      <c r="A92" t="s">
        <v>108</v>
      </c>
      <c r="B92" t="s">
        <v>11</v>
      </c>
      <c r="C92" t="s">
        <v>26</v>
      </c>
      <c r="D92" s="4">
        <v>3605.23</v>
      </c>
      <c r="E92">
        <v>25</v>
      </c>
      <c r="F92" s="4">
        <v>133.51</v>
      </c>
      <c r="G92" s="5">
        <v>7.1999999999999995E-2</v>
      </c>
      <c r="H92" s="5">
        <v>2.3E-2</v>
      </c>
      <c r="I92">
        <v>0</v>
      </c>
      <c r="J92">
        <v>23</v>
      </c>
    </row>
    <row r="93" spans="1:10">
      <c r="A93" t="s">
        <v>109</v>
      </c>
      <c r="B93" t="s">
        <v>11</v>
      </c>
      <c r="C93" t="s">
        <v>26</v>
      </c>
      <c r="D93" s="4">
        <v>4356.26</v>
      </c>
      <c r="E93">
        <v>34</v>
      </c>
      <c r="F93" s="4">
        <v>131.04</v>
      </c>
      <c r="G93" s="5">
        <v>0.104</v>
      </c>
      <c r="H93" s="5">
        <v>5.8000000000000003E-2</v>
      </c>
      <c r="I93">
        <v>2</v>
      </c>
      <c r="J93">
        <v>36</v>
      </c>
    </row>
    <row r="94" spans="1:10">
      <c r="A94" t="s">
        <v>110</v>
      </c>
      <c r="B94" t="s">
        <v>35</v>
      </c>
      <c r="C94" t="s">
        <v>14</v>
      </c>
      <c r="D94" s="4">
        <v>331.05</v>
      </c>
      <c r="E94">
        <v>1</v>
      </c>
      <c r="F94" s="4">
        <v>249.4</v>
      </c>
      <c r="G94" s="5">
        <v>0.17</v>
      </c>
      <c r="H94" s="5">
        <v>0.124</v>
      </c>
      <c r="I94">
        <v>2</v>
      </c>
      <c r="J94">
        <v>239</v>
      </c>
    </row>
    <row r="95" spans="1:10">
      <c r="A95" t="s">
        <v>111</v>
      </c>
      <c r="B95" t="s">
        <v>35</v>
      </c>
      <c r="C95" t="s">
        <v>12</v>
      </c>
      <c r="D95" s="4">
        <v>2449.5300000000002</v>
      </c>
      <c r="E95">
        <v>43</v>
      </c>
      <c r="F95" s="4">
        <v>51.16</v>
      </c>
      <c r="G95" s="5">
        <v>0.23200000000000001</v>
      </c>
      <c r="H95" s="5">
        <v>0.12</v>
      </c>
      <c r="I95">
        <v>0</v>
      </c>
      <c r="J95">
        <v>34</v>
      </c>
    </row>
    <row r="96" spans="1:10">
      <c r="A96" t="s">
        <v>112</v>
      </c>
      <c r="B96" t="s">
        <v>21</v>
      </c>
      <c r="C96" t="s">
        <v>23</v>
      </c>
      <c r="D96" s="4">
        <v>6831.38</v>
      </c>
      <c r="E96">
        <v>39</v>
      </c>
      <c r="F96" s="4">
        <v>198.45</v>
      </c>
      <c r="G96" s="5">
        <v>8.7999999999999995E-2</v>
      </c>
      <c r="H96" s="5">
        <v>1.2999999999999999E-2</v>
      </c>
      <c r="I96">
        <v>2</v>
      </c>
      <c r="J96">
        <v>21</v>
      </c>
    </row>
    <row r="97" spans="1:10">
      <c r="A97" t="s">
        <v>113</v>
      </c>
      <c r="B97" t="s">
        <v>11</v>
      </c>
      <c r="C97" t="s">
        <v>23</v>
      </c>
      <c r="D97" s="4">
        <v>2086.64</v>
      </c>
      <c r="E97">
        <v>7</v>
      </c>
      <c r="F97" s="4">
        <v>305.57</v>
      </c>
      <c r="G97" s="5">
        <v>5.3999999999999999E-2</v>
      </c>
      <c r="H97" s="5">
        <v>7.8E-2</v>
      </c>
      <c r="I97">
        <v>0</v>
      </c>
      <c r="J97">
        <v>96</v>
      </c>
    </row>
    <row r="98" spans="1:10">
      <c r="A98" t="s">
        <v>114</v>
      </c>
      <c r="B98" t="s">
        <v>35</v>
      </c>
      <c r="C98" t="s">
        <v>23</v>
      </c>
      <c r="D98" s="4">
        <v>3909.56</v>
      </c>
      <c r="E98">
        <v>23</v>
      </c>
      <c r="F98" s="4">
        <v>149.83000000000001</v>
      </c>
      <c r="G98" s="5">
        <v>0.128</v>
      </c>
      <c r="H98" s="5">
        <v>0</v>
      </c>
      <c r="I98">
        <v>1</v>
      </c>
      <c r="J98">
        <v>38</v>
      </c>
    </row>
    <row r="99" spans="1:10">
      <c r="A99" t="s">
        <v>115</v>
      </c>
      <c r="B99" t="s">
        <v>16</v>
      </c>
      <c r="C99" t="s">
        <v>14</v>
      </c>
      <c r="D99" s="4">
        <v>4000.1</v>
      </c>
      <c r="E99">
        <v>27</v>
      </c>
      <c r="F99" s="4">
        <v>150.18</v>
      </c>
      <c r="G99" s="5">
        <v>0.13600000000000001</v>
      </c>
      <c r="H99" s="5">
        <v>1.2E-2</v>
      </c>
      <c r="I99">
        <v>0</v>
      </c>
      <c r="J99">
        <v>31</v>
      </c>
    </row>
    <row r="100" spans="1:10">
      <c r="A100" t="s">
        <v>116</v>
      </c>
      <c r="B100" t="s">
        <v>16</v>
      </c>
      <c r="C100" t="s">
        <v>26</v>
      </c>
      <c r="D100" s="4">
        <v>4230.8599999999997</v>
      </c>
      <c r="E100">
        <v>28</v>
      </c>
      <c r="F100" s="4">
        <v>170.42</v>
      </c>
      <c r="G100" s="5">
        <v>0.129</v>
      </c>
      <c r="H100" s="5">
        <v>6.0999999999999999E-2</v>
      </c>
      <c r="I100">
        <v>1</v>
      </c>
      <c r="J100">
        <v>18</v>
      </c>
    </row>
    <row r="101" spans="1:10">
      <c r="A101" t="s">
        <v>117</v>
      </c>
      <c r="B101" t="s">
        <v>16</v>
      </c>
      <c r="C101" t="s">
        <v>23</v>
      </c>
      <c r="D101" s="4">
        <v>2364.13</v>
      </c>
      <c r="E101">
        <v>8</v>
      </c>
      <c r="F101" s="4">
        <v>267.17</v>
      </c>
      <c r="G101" s="5">
        <v>6.3E-2</v>
      </c>
      <c r="H101" s="5">
        <v>4.3999999999999997E-2</v>
      </c>
      <c r="I101">
        <v>0</v>
      </c>
      <c r="J101">
        <v>63</v>
      </c>
    </row>
    <row r="102" spans="1:10">
      <c r="A102" t="s">
        <v>118</v>
      </c>
      <c r="B102" t="s">
        <v>35</v>
      </c>
      <c r="C102" t="s">
        <v>23</v>
      </c>
      <c r="D102" s="4">
        <v>2100.21</v>
      </c>
      <c r="E102">
        <v>29</v>
      </c>
      <c r="F102" s="4">
        <v>64.25</v>
      </c>
      <c r="G102" s="5">
        <v>0.20399999999999999</v>
      </c>
      <c r="H102" s="5">
        <v>7.0000000000000007E-2</v>
      </c>
      <c r="I102">
        <v>1</v>
      </c>
      <c r="J102">
        <v>27</v>
      </c>
    </row>
    <row r="103" spans="1:10">
      <c r="A103" t="s">
        <v>119</v>
      </c>
      <c r="B103" t="s">
        <v>21</v>
      </c>
      <c r="C103" t="s">
        <v>12</v>
      </c>
      <c r="D103" s="4">
        <v>4632.46</v>
      </c>
      <c r="E103">
        <v>26</v>
      </c>
      <c r="F103" s="4">
        <v>158.31</v>
      </c>
      <c r="G103" s="5">
        <v>4.3999999999999997E-2</v>
      </c>
      <c r="H103" s="5">
        <v>2.3E-2</v>
      </c>
      <c r="I103">
        <v>1</v>
      </c>
      <c r="J103">
        <v>9</v>
      </c>
    </row>
    <row r="104" spans="1:10">
      <c r="A104" t="s">
        <v>120</v>
      </c>
      <c r="B104" t="s">
        <v>35</v>
      </c>
      <c r="C104" t="s">
        <v>14</v>
      </c>
      <c r="D104" s="4">
        <v>1914.82</v>
      </c>
      <c r="E104">
        <v>6</v>
      </c>
      <c r="F104" s="4">
        <v>223.69</v>
      </c>
      <c r="G104" s="5">
        <v>8.3000000000000004E-2</v>
      </c>
      <c r="H104" s="5">
        <v>7.0999999999999994E-2</v>
      </c>
      <c r="I104">
        <v>1</v>
      </c>
      <c r="J104">
        <v>81</v>
      </c>
    </row>
    <row r="105" spans="1:10">
      <c r="A105" t="s">
        <v>121</v>
      </c>
      <c r="B105" t="s">
        <v>21</v>
      </c>
      <c r="C105" t="s">
        <v>23</v>
      </c>
      <c r="D105" s="4">
        <v>3690.25</v>
      </c>
      <c r="E105">
        <v>31</v>
      </c>
      <c r="F105" s="4">
        <v>127.14</v>
      </c>
      <c r="G105" s="5">
        <v>9.5000000000000001E-2</v>
      </c>
      <c r="H105" s="5">
        <v>8.8999999999999996E-2</v>
      </c>
      <c r="I105">
        <v>0</v>
      </c>
      <c r="J105">
        <v>33</v>
      </c>
    </row>
    <row r="106" spans="1:10">
      <c r="A106" t="s">
        <v>122</v>
      </c>
      <c r="B106" t="s">
        <v>35</v>
      </c>
      <c r="C106" t="s">
        <v>12</v>
      </c>
      <c r="D106" s="4">
        <v>487.69</v>
      </c>
      <c r="E106">
        <v>2</v>
      </c>
      <c r="F106" s="4">
        <v>169.33</v>
      </c>
      <c r="G106" s="5">
        <v>0.17699999999999999</v>
      </c>
      <c r="H106" s="5">
        <v>0.16400000000000001</v>
      </c>
      <c r="I106">
        <v>3</v>
      </c>
      <c r="J106">
        <v>116</v>
      </c>
    </row>
    <row r="107" spans="1:10">
      <c r="A107" t="s">
        <v>123</v>
      </c>
      <c r="B107" t="s">
        <v>11</v>
      </c>
      <c r="C107" t="s">
        <v>12</v>
      </c>
      <c r="D107" s="4">
        <v>3408.87</v>
      </c>
      <c r="E107">
        <v>9</v>
      </c>
      <c r="F107" s="4">
        <v>362.82</v>
      </c>
      <c r="G107" s="5">
        <v>7.3999999999999996E-2</v>
      </c>
      <c r="H107" s="5">
        <v>7.0999999999999994E-2</v>
      </c>
      <c r="I107">
        <v>1</v>
      </c>
      <c r="J107">
        <v>87</v>
      </c>
    </row>
    <row r="108" spans="1:10">
      <c r="A108" t="s">
        <v>124</v>
      </c>
      <c r="B108" t="s">
        <v>35</v>
      </c>
      <c r="C108" t="s">
        <v>12</v>
      </c>
      <c r="D108" s="4">
        <v>5387.17</v>
      </c>
      <c r="E108">
        <v>36</v>
      </c>
      <c r="F108" s="4">
        <v>156.22999999999999</v>
      </c>
      <c r="G108" s="5">
        <v>6.2E-2</v>
      </c>
      <c r="H108" s="5">
        <v>0</v>
      </c>
      <c r="I108">
        <v>1</v>
      </c>
      <c r="J108">
        <v>14</v>
      </c>
    </row>
    <row r="109" spans="1:10">
      <c r="A109" t="s">
        <v>125</v>
      </c>
      <c r="B109" t="s">
        <v>21</v>
      </c>
      <c r="C109" t="s">
        <v>14</v>
      </c>
      <c r="D109" s="4">
        <v>2402.23</v>
      </c>
      <c r="E109">
        <v>7</v>
      </c>
      <c r="F109" s="4">
        <v>338.37</v>
      </c>
      <c r="G109" s="5">
        <v>4.3999999999999997E-2</v>
      </c>
      <c r="H109" s="5">
        <v>8.6999999999999994E-2</v>
      </c>
      <c r="I109">
        <v>0</v>
      </c>
      <c r="J109">
        <v>46</v>
      </c>
    </row>
    <row r="110" spans="1:10">
      <c r="A110" t="s">
        <v>126</v>
      </c>
      <c r="B110" t="s">
        <v>35</v>
      </c>
      <c r="C110" t="s">
        <v>23</v>
      </c>
      <c r="D110" s="4">
        <v>2116.13</v>
      </c>
      <c r="E110">
        <v>6</v>
      </c>
      <c r="F110" s="4">
        <v>280.33</v>
      </c>
      <c r="G110" s="5">
        <v>0.112</v>
      </c>
      <c r="H110" s="5">
        <v>0.01</v>
      </c>
      <c r="I110">
        <v>1</v>
      </c>
      <c r="J110">
        <v>79</v>
      </c>
    </row>
    <row r="111" spans="1:10">
      <c r="A111" t="s">
        <v>127</v>
      </c>
      <c r="B111" t="s">
        <v>16</v>
      </c>
      <c r="C111" t="s">
        <v>14</v>
      </c>
      <c r="D111" s="4">
        <v>1695.08</v>
      </c>
      <c r="E111">
        <v>32</v>
      </c>
      <c r="F111" s="4">
        <v>62.58</v>
      </c>
      <c r="G111" s="5">
        <v>0.20200000000000001</v>
      </c>
      <c r="H111" s="5">
        <v>2.5999999999999999E-2</v>
      </c>
      <c r="I111">
        <v>0</v>
      </c>
      <c r="J111">
        <v>17</v>
      </c>
    </row>
    <row r="112" spans="1:10">
      <c r="A112" t="s">
        <v>128</v>
      </c>
      <c r="B112" t="s">
        <v>35</v>
      </c>
      <c r="C112" t="s">
        <v>12</v>
      </c>
      <c r="D112" s="4">
        <v>774.82</v>
      </c>
      <c r="E112">
        <v>5</v>
      </c>
      <c r="F112" s="4">
        <v>143.51</v>
      </c>
      <c r="G112" s="5">
        <v>0.16200000000000001</v>
      </c>
      <c r="H112" s="5">
        <v>0.14000000000000001</v>
      </c>
      <c r="I112">
        <v>3</v>
      </c>
      <c r="J112">
        <v>81</v>
      </c>
    </row>
    <row r="113" spans="1:10">
      <c r="A113" t="s">
        <v>129</v>
      </c>
      <c r="B113" t="s">
        <v>11</v>
      </c>
      <c r="C113" t="s">
        <v>14</v>
      </c>
      <c r="D113" s="4">
        <v>814.98</v>
      </c>
      <c r="E113">
        <v>6</v>
      </c>
      <c r="F113" s="4">
        <v>131.85</v>
      </c>
      <c r="G113" s="5">
        <v>0.16200000000000001</v>
      </c>
      <c r="H113" s="5">
        <v>0.14299999999999999</v>
      </c>
      <c r="I113">
        <v>0</v>
      </c>
      <c r="J113">
        <v>158</v>
      </c>
    </row>
    <row r="114" spans="1:10">
      <c r="A114" t="s">
        <v>130</v>
      </c>
      <c r="B114" t="s">
        <v>11</v>
      </c>
      <c r="C114" t="s">
        <v>23</v>
      </c>
      <c r="D114" s="4">
        <v>1965.67</v>
      </c>
      <c r="E114">
        <v>25</v>
      </c>
      <c r="F114" s="4">
        <v>79.239999999999995</v>
      </c>
      <c r="G114" s="5">
        <v>0.26200000000000001</v>
      </c>
      <c r="H114" s="5">
        <v>5.5E-2</v>
      </c>
      <c r="I114">
        <v>1</v>
      </c>
      <c r="J114">
        <v>50</v>
      </c>
    </row>
    <row r="115" spans="1:10">
      <c r="A115" t="s">
        <v>131</v>
      </c>
      <c r="B115" t="s">
        <v>35</v>
      </c>
      <c r="C115" t="s">
        <v>23</v>
      </c>
      <c r="D115" s="4">
        <v>3223.43</v>
      </c>
      <c r="E115">
        <v>9</v>
      </c>
      <c r="F115" s="4">
        <v>425.77</v>
      </c>
      <c r="G115" s="5">
        <v>0.14699999999999999</v>
      </c>
      <c r="H115" s="5">
        <v>6.8000000000000005E-2</v>
      </c>
      <c r="I115">
        <v>1</v>
      </c>
      <c r="J115">
        <v>46</v>
      </c>
    </row>
    <row r="116" spans="1:10">
      <c r="A116" t="s">
        <v>132</v>
      </c>
      <c r="B116" t="s">
        <v>16</v>
      </c>
      <c r="C116" t="s">
        <v>23</v>
      </c>
      <c r="D116" s="4">
        <v>1613.27</v>
      </c>
      <c r="E116">
        <v>20</v>
      </c>
      <c r="F116" s="4">
        <v>70.2</v>
      </c>
      <c r="G116" s="5">
        <v>0.30599999999999999</v>
      </c>
      <c r="H116" s="5">
        <v>9.4E-2</v>
      </c>
      <c r="I116">
        <v>1</v>
      </c>
      <c r="J116">
        <v>26</v>
      </c>
    </row>
    <row r="117" spans="1:10">
      <c r="A117" t="s">
        <v>133</v>
      </c>
      <c r="B117" t="s">
        <v>35</v>
      </c>
      <c r="C117" t="s">
        <v>12</v>
      </c>
      <c r="D117" s="4">
        <v>688.58</v>
      </c>
      <c r="E117">
        <v>4</v>
      </c>
      <c r="F117" s="4">
        <v>166.2</v>
      </c>
      <c r="G117" s="5">
        <v>0.159</v>
      </c>
      <c r="H117" s="5">
        <v>0.12</v>
      </c>
      <c r="I117">
        <v>3</v>
      </c>
      <c r="J117">
        <v>154</v>
      </c>
    </row>
    <row r="118" spans="1:10">
      <c r="A118" t="s">
        <v>134</v>
      </c>
      <c r="B118" t="s">
        <v>16</v>
      </c>
      <c r="C118" t="s">
        <v>23</v>
      </c>
      <c r="D118" s="4">
        <v>3517.4</v>
      </c>
      <c r="E118">
        <v>26</v>
      </c>
      <c r="F118" s="4">
        <v>151.22</v>
      </c>
      <c r="G118" s="5">
        <v>4.2000000000000003E-2</v>
      </c>
      <c r="H118" s="5">
        <v>2.7E-2</v>
      </c>
      <c r="I118">
        <v>1</v>
      </c>
      <c r="J118">
        <v>20</v>
      </c>
    </row>
    <row r="119" spans="1:10">
      <c r="A119" t="s">
        <v>135</v>
      </c>
      <c r="B119" t="s">
        <v>21</v>
      </c>
      <c r="C119" t="s">
        <v>14</v>
      </c>
      <c r="D119" s="4">
        <v>1665.56</v>
      </c>
      <c r="E119">
        <v>20</v>
      </c>
      <c r="F119" s="4">
        <v>58.13</v>
      </c>
      <c r="G119" s="5">
        <v>0.25600000000000001</v>
      </c>
      <c r="H119" s="5">
        <v>0.126</v>
      </c>
      <c r="I119">
        <v>2</v>
      </c>
      <c r="J119">
        <v>12</v>
      </c>
    </row>
    <row r="120" spans="1:10">
      <c r="A120" t="s">
        <v>136</v>
      </c>
      <c r="B120" t="s">
        <v>16</v>
      </c>
      <c r="C120" t="s">
        <v>12</v>
      </c>
      <c r="D120" s="4">
        <v>2135.13</v>
      </c>
      <c r="E120">
        <v>21</v>
      </c>
      <c r="F120" s="4">
        <v>76.72</v>
      </c>
      <c r="G120" s="5">
        <v>0.25800000000000001</v>
      </c>
      <c r="H120" s="5">
        <v>6.8000000000000005E-2</v>
      </c>
      <c r="I120">
        <v>3</v>
      </c>
      <c r="J120">
        <v>47</v>
      </c>
    </row>
    <row r="121" spans="1:10">
      <c r="A121" t="s">
        <v>137</v>
      </c>
      <c r="B121" t="s">
        <v>21</v>
      </c>
      <c r="C121" t="s">
        <v>23</v>
      </c>
      <c r="D121" s="4">
        <v>576.73</v>
      </c>
      <c r="E121">
        <v>3</v>
      </c>
      <c r="F121" s="4">
        <v>175.19</v>
      </c>
      <c r="G121" s="5">
        <v>0.2</v>
      </c>
      <c r="H121" s="5">
        <v>0.154</v>
      </c>
      <c r="I121">
        <v>2</v>
      </c>
      <c r="J121">
        <v>157</v>
      </c>
    </row>
    <row r="122" spans="1:10">
      <c r="A122" t="s">
        <v>138</v>
      </c>
      <c r="B122" t="s">
        <v>35</v>
      </c>
      <c r="C122" t="s">
        <v>23</v>
      </c>
      <c r="D122" s="4">
        <v>4170.5600000000004</v>
      </c>
      <c r="E122">
        <v>26</v>
      </c>
      <c r="F122" s="4">
        <v>148.01</v>
      </c>
      <c r="G122" s="5">
        <v>6.5000000000000002E-2</v>
      </c>
      <c r="H122" s="5">
        <v>5.3999999999999999E-2</v>
      </c>
      <c r="I122">
        <v>2</v>
      </c>
      <c r="J122">
        <v>13</v>
      </c>
    </row>
    <row r="123" spans="1:10">
      <c r="A123" t="s">
        <v>139</v>
      </c>
      <c r="B123" t="s">
        <v>21</v>
      </c>
      <c r="C123" t="s">
        <v>14</v>
      </c>
      <c r="D123" s="4">
        <v>629.38</v>
      </c>
      <c r="E123">
        <v>4</v>
      </c>
      <c r="F123" s="4">
        <v>152.19</v>
      </c>
      <c r="G123" s="5">
        <v>0.20599999999999999</v>
      </c>
      <c r="H123" s="5">
        <v>8.8999999999999996E-2</v>
      </c>
      <c r="I123">
        <v>2</v>
      </c>
      <c r="J123">
        <v>109</v>
      </c>
    </row>
    <row r="124" spans="1:10">
      <c r="A124" t="s">
        <v>140</v>
      </c>
      <c r="B124" t="s">
        <v>11</v>
      </c>
      <c r="C124" t="s">
        <v>12</v>
      </c>
      <c r="D124" s="4">
        <v>4206.97</v>
      </c>
      <c r="E124">
        <v>20</v>
      </c>
      <c r="F124" s="4">
        <v>164.8</v>
      </c>
      <c r="G124" s="5">
        <v>3.5999999999999997E-2</v>
      </c>
      <c r="H124" s="5">
        <v>4.2000000000000003E-2</v>
      </c>
      <c r="I124">
        <v>1</v>
      </c>
      <c r="J124">
        <v>21</v>
      </c>
    </row>
    <row r="125" spans="1:10">
      <c r="A125" t="s">
        <v>141</v>
      </c>
      <c r="B125" t="s">
        <v>11</v>
      </c>
      <c r="C125" t="s">
        <v>12</v>
      </c>
      <c r="D125" s="4">
        <v>2597.96</v>
      </c>
      <c r="E125">
        <v>37</v>
      </c>
      <c r="F125" s="4">
        <v>67.86</v>
      </c>
      <c r="G125" s="5">
        <v>0.20300000000000001</v>
      </c>
      <c r="H125" s="5">
        <v>0.112</v>
      </c>
      <c r="I125">
        <v>2</v>
      </c>
      <c r="J125">
        <v>40</v>
      </c>
    </row>
    <row r="126" spans="1:10">
      <c r="A126" t="s">
        <v>142</v>
      </c>
      <c r="B126" t="s">
        <v>11</v>
      </c>
      <c r="C126" t="s">
        <v>12</v>
      </c>
      <c r="D126" s="4">
        <v>609.67999999999995</v>
      </c>
      <c r="E126">
        <v>5</v>
      </c>
      <c r="F126" s="4">
        <v>140.12</v>
      </c>
      <c r="G126" s="5">
        <v>0.13500000000000001</v>
      </c>
      <c r="H126" s="5">
        <v>9.5000000000000001E-2</v>
      </c>
      <c r="I126">
        <v>2</v>
      </c>
      <c r="J126">
        <v>103</v>
      </c>
    </row>
    <row r="127" spans="1:10">
      <c r="A127" t="s">
        <v>143</v>
      </c>
      <c r="B127" t="s">
        <v>16</v>
      </c>
      <c r="C127" t="s">
        <v>26</v>
      </c>
      <c r="D127" s="4">
        <v>4789.7700000000004</v>
      </c>
      <c r="E127">
        <v>24</v>
      </c>
      <c r="F127" s="4">
        <v>186.12</v>
      </c>
      <c r="G127" s="5">
        <v>9.1999999999999998E-2</v>
      </c>
      <c r="H127" s="5">
        <v>3.9E-2</v>
      </c>
      <c r="I127">
        <v>1</v>
      </c>
      <c r="J127">
        <v>17</v>
      </c>
    </row>
    <row r="128" spans="1:10">
      <c r="A128" t="s">
        <v>144</v>
      </c>
      <c r="B128" t="s">
        <v>16</v>
      </c>
      <c r="C128" t="s">
        <v>12</v>
      </c>
      <c r="D128" s="4">
        <v>2191.96</v>
      </c>
      <c r="E128">
        <v>29</v>
      </c>
      <c r="F128" s="4">
        <v>83.53</v>
      </c>
      <c r="G128" s="5">
        <v>0.248</v>
      </c>
      <c r="H128" s="5">
        <v>0.12</v>
      </c>
      <c r="I128">
        <v>2</v>
      </c>
      <c r="J128">
        <v>45</v>
      </c>
    </row>
    <row r="129" spans="1:10">
      <c r="A129" t="s">
        <v>145</v>
      </c>
      <c r="B129" t="s">
        <v>35</v>
      </c>
      <c r="C129" t="s">
        <v>14</v>
      </c>
      <c r="D129" s="4">
        <v>2318.4</v>
      </c>
      <c r="E129">
        <v>33</v>
      </c>
      <c r="F129" s="4">
        <v>69.61</v>
      </c>
      <c r="G129" s="5">
        <v>0.27700000000000002</v>
      </c>
      <c r="H129" s="5">
        <v>8.6999999999999994E-2</v>
      </c>
      <c r="I129">
        <v>0</v>
      </c>
      <c r="J129">
        <v>29</v>
      </c>
    </row>
    <row r="130" spans="1:10">
      <c r="A130" t="s">
        <v>146</v>
      </c>
      <c r="B130" t="s">
        <v>16</v>
      </c>
      <c r="C130" t="s">
        <v>23</v>
      </c>
      <c r="D130" s="4">
        <v>2064.69</v>
      </c>
      <c r="E130">
        <v>7</v>
      </c>
      <c r="F130" s="4">
        <v>335.82</v>
      </c>
      <c r="G130" s="5">
        <v>0.13</v>
      </c>
      <c r="H130" s="5">
        <v>6.5000000000000002E-2</v>
      </c>
      <c r="I130">
        <v>0</v>
      </c>
      <c r="J130">
        <v>80</v>
      </c>
    </row>
    <row r="131" spans="1:10">
      <c r="A131" t="s">
        <v>147</v>
      </c>
      <c r="B131" t="s">
        <v>11</v>
      </c>
      <c r="C131" t="s">
        <v>12</v>
      </c>
      <c r="D131" s="4">
        <v>3543.41</v>
      </c>
      <c r="E131">
        <v>26</v>
      </c>
      <c r="F131" s="4">
        <v>145.72</v>
      </c>
      <c r="G131" s="5">
        <v>0.106</v>
      </c>
      <c r="H131" s="5">
        <v>3.7999999999999999E-2</v>
      </c>
      <c r="I131">
        <v>0</v>
      </c>
      <c r="J131">
        <v>26</v>
      </c>
    </row>
    <row r="132" spans="1:10">
      <c r="A132" t="s">
        <v>148</v>
      </c>
      <c r="B132" t="s">
        <v>11</v>
      </c>
      <c r="C132" t="s">
        <v>12</v>
      </c>
      <c r="D132" s="4">
        <v>402.12</v>
      </c>
      <c r="E132">
        <v>1</v>
      </c>
      <c r="F132" s="4">
        <v>174.89</v>
      </c>
      <c r="G132" s="5">
        <v>0.13900000000000001</v>
      </c>
      <c r="H132" s="5">
        <v>0.13300000000000001</v>
      </c>
      <c r="I132">
        <v>3</v>
      </c>
      <c r="J132">
        <v>177</v>
      </c>
    </row>
    <row r="133" spans="1:10">
      <c r="A133" t="s">
        <v>149</v>
      </c>
      <c r="B133" t="s">
        <v>11</v>
      </c>
      <c r="C133" t="s">
        <v>12</v>
      </c>
      <c r="D133" s="4">
        <v>5046.1099999999997</v>
      </c>
      <c r="E133">
        <v>26</v>
      </c>
      <c r="F133" s="4">
        <v>192.64</v>
      </c>
      <c r="G133" s="5">
        <v>0.128</v>
      </c>
      <c r="H133" s="5">
        <v>3.2000000000000001E-2</v>
      </c>
      <c r="I133">
        <v>2</v>
      </c>
      <c r="J133">
        <v>36</v>
      </c>
    </row>
    <row r="134" spans="1:10">
      <c r="A134" t="s">
        <v>150</v>
      </c>
      <c r="B134" t="s">
        <v>16</v>
      </c>
      <c r="C134" t="s">
        <v>12</v>
      </c>
      <c r="D134" s="4">
        <v>1643.6</v>
      </c>
      <c r="E134">
        <v>19</v>
      </c>
      <c r="F134" s="4">
        <v>72.569999999999993</v>
      </c>
      <c r="G134" s="5">
        <v>0.21299999999999999</v>
      </c>
      <c r="H134" s="5">
        <v>0.107</v>
      </c>
      <c r="I134">
        <v>1</v>
      </c>
      <c r="J134">
        <v>42</v>
      </c>
    </row>
    <row r="135" spans="1:10">
      <c r="A135" t="s">
        <v>151</v>
      </c>
      <c r="B135" t="s">
        <v>16</v>
      </c>
      <c r="C135" t="s">
        <v>12</v>
      </c>
      <c r="D135" s="4">
        <v>2000.09</v>
      </c>
      <c r="E135">
        <v>37</v>
      </c>
      <c r="F135" s="4">
        <v>59.04</v>
      </c>
      <c r="G135" s="5">
        <v>0.20399999999999999</v>
      </c>
      <c r="H135" s="5">
        <v>4.9000000000000002E-2</v>
      </c>
      <c r="I135">
        <v>3</v>
      </c>
      <c r="J135">
        <v>32</v>
      </c>
    </row>
    <row r="136" spans="1:10">
      <c r="A136" t="s">
        <v>152</v>
      </c>
      <c r="B136" t="s">
        <v>35</v>
      </c>
      <c r="C136" t="s">
        <v>23</v>
      </c>
      <c r="D136" s="4">
        <v>1813.48</v>
      </c>
      <c r="E136">
        <v>6</v>
      </c>
      <c r="F136" s="4">
        <v>309.68</v>
      </c>
      <c r="G136" s="5">
        <v>0.13100000000000001</v>
      </c>
      <c r="H136" s="5">
        <v>4.8000000000000001E-2</v>
      </c>
      <c r="I136">
        <v>1</v>
      </c>
      <c r="J136">
        <v>43</v>
      </c>
    </row>
    <row r="137" spans="1:10">
      <c r="A137" t="s">
        <v>153</v>
      </c>
      <c r="B137" t="s">
        <v>21</v>
      </c>
      <c r="C137" t="s">
        <v>23</v>
      </c>
      <c r="D137" s="4">
        <v>2643.25</v>
      </c>
      <c r="E137">
        <v>7</v>
      </c>
      <c r="F137" s="4">
        <v>388.35</v>
      </c>
      <c r="G137" s="5">
        <v>5.2999999999999999E-2</v>
      </c>
      <c r="H137" s="5">
        <v>3.2000000000000001E-2</v>
      </c>
      <c r="I137">
        <v>0</v>
      </c>
      <c r="J137">
        <v>86</v>
      </c>
    </row>
    <row r="138" spans="1:10">
      <c r="A138" t="s">
        <v>154</v>
      </c>
      <c r="B138" t="s">
        <v>35</v>
      </c>
      <c r="C138" t="s">
        <v>23</v>
      </c>
      <c r="D138" s="4">
        <v>3371.67</v>
      </c>
      <c r="E138">
        <v>33</v>
      </c>
      <c r="F138" s="4">
        <v>103.96</v>
      </c>
      <c r="G138" s="5">
        <v>0.05</v>
      </c>
      <c r="H138" s="5">
        <v>3.3000000000000002E-2</v>
      </c>
      <c r="I138">
        <v>1</v>
      </c>
      <c r="J138">
        <v>25</v>
      </c>
    </row>
    <row r="139" spans="1:10">
      <c r="A139" t="s">
        <v>155</v>
      </c>
      <c r="B139" t="s">
        <v>11</v>
      </c>
      <c r="C139" t="s">
        <v>12</v>
      </c>
      <c r="D139" s="4">
        <v>483.72</v>
      </c>
      <c r="E139">
        <v>2</v>
      </c>
      <c r="F139" s="4">
        <v>184.27</v>
      </c>
      <c r="G139" s="5">
        <v>0.19700000000000001</v>
      </c>
      <c r="H139" s="5">
        <v>8.4000000000000005E-2</v>
      </c>
      <c r="I139">
        <v>3</v>
      </c>
      <c r="J139">
        <v>156</v>
      </c>
    </row>
    <row r="140" spans="1:10">
      <c r="A140" t="s">
        <v>156</v>
      </c>
      <c r="B140" t="s">
        <v>16</v>
      </c>
      <c r="C140" t="s">
        <v>23</v>
      </c>
      <c r="D140" s="4">
        <v>2380.11</v>
      </c>
      <c r="E140">
        <v>5</v>
      </c>
      <c r="F140" s="4">
        <v>429.71</v>
      </c>
      <c r="G140" s="5">
        <v>0.107</v>
      </c>
      <c r="H140" s="5">
        <v>2.1999999999999999E-2</v>
      </c>
      <c r="I140">
        <v>1</v>
      </c>
      <c r="J140">
        <v>118</v>
      </c>
    </row>
    <row r="141" spans="1:10">
      <c r="A141" t="s">
        <v>157</v>
      </c>
      <c r="B141" t="s">
        <v>16</v>
      </c>
      <c r="C141" t="s">
        <v>14</v>
      </c>
      <c r="D141" s="4">
        <v>2956.22</v>
      </c>
      <c r="E141">
        <v>8</v>
      </c>
      <c r="F141" s="4">
        <v>332.13</v>
      </c>
      <c r="G141" s="5">
        <v>7.1999999999999995E-2</v>
      </c>
      <c r="H141" s="5">
        <v>2.8000000000000001E-2</v>
      </c>
      <c r="I141">
        <v>0</v>
      </c>
      <c r="J141">
        <v>57</v>
      </c>
    </row>
    <row r="142" spans="1:10">
      <c r="A142" t="s">
        <v>158</v>
      </c>
      <c r="B142" t="s">
        <v>16</v>
      </c>
      <c r="C142" t="s">
        <v>12</v>
      </c>
      <c r="D142" s="4">
        <v>2413.1</v>
      </c>
      <c r="E142">
        <v>7</v>
      </c>
      <c r="F142" s="4">
        <v>348.44</v>
      </c>
      <c r="G142" s="5">
        <v>7.5999999999999998E-2</v>
      </c>
      <c r="H142" s="5">
        <v>3.9E-2</v>
      </c>
      <c r="I142">
        <v>1</v>
      </c>
      <c r="J142">
        <v>83</v>
      </c>
    </row>
    <row r="143" spans="1:10">
      <c r="A143" t="s">
        <v>159</v>
      </c>
      <c r="B143" t="s">
        <v>11</v>
      </c>
      <c r="C143" t="s">
        <v>14</v>
      </c>
      <c r="D143" s="4">
        <v>2820.44</v>
      </c>
      <c r="E143">
        <v>33</v>
      </c>
      <c r="F143" s="4">
        <v>88.71</v>
      </c>
      <c r="G143" s="5">
        <v>0.23599999999999999</v>
      </c>
      <c r="H143" s="5">
        <v>7.9000000000000001E-2</v>
      </c>
      <c r="I143">
        <v>0</v>
      </c>
      <c r="J143">
        <v>19</v>
      </c>
    </row>
    <row r="144" spans="1:10">
      <c r="A144" t="s">
        <v>160</v>
      </c>
      <c r="B144" t="s">
        <v>21</v>
      </c>
      <c r="C144" t="s">
        <v>23</v>
      </c>
      <c r="D144" s="4">
        <v>2490.14</v>
      </c>
      <c r="E144">
        <v>42</v>
      </c>
      <c r="F144" s="4">
        <v>63.18</v>
      </c>
      <c r="G144" s="5">
        <v>0.23400000000000001</v>
      </c>
      <c r="H144" s="5">
        <v>9.1999999999999998E-2</v>
      </c>
      <c r="I144">
        <v>4</v>
      </c>
      <c r="J144">
        <v>56</v>
      </c>
    </row>
    <row r="145" spans="1:10">
      <c r="A145" t="s">
        <v>161</v>
      </c>
      <c r="B145" t="s">
        <v>16</v>
      </c>
      <c r="C145" t="s">
        <v>26</v>
      </c>
      <c r="D145" s="4">
        <v>4205.6099999999997</v>
      </c>
      <c r="E145">
        <v>30</v>
      </c>
      <c r="F145" s="4">
        <v>137.49</v>
      </c>
      <c r="G145" s="5">
        <v>0.13700000000000001</v>
      </c>
      <c r="H145" s="5">
        <v>6.6000000000000003E-2</v>
      </c>
      <c r="I145">
        <v>0</v>
      </c>
      <c r="J145">
        <v>40</v>
      </c>
    </row>
    <row r="146" spans="1:10">
      <c r="A146" t="s">
        <v>162</v>
      </c>
      <c r="B146" t="s">
        <v>16</v>
      </c>
      <c r="C146" t="s">
        <v>12</v>
      </c>
      <c r="D146" s="4">
        <v>1194.05</v>
      </c>
      <c r="E146">
        <v>23</v>
      </c>
      <c r="F146" s="4">
        <v>54.91</v>
      </c>
      <c r="G146" s="5">
        <v>0.216</v>
      </c>
      <c r="H146" s="5">
        <v>3.9E-2</v>
      </c>
      <c r="I146">
        <v>2</v>
      </c>
      <c r="J146">
        <v>61</v>
      </c>
    </row>
    <row r="147" spans="1:10">
      <c r="A147" t="s">
        <v>163</v>
      </c>
      <c r="B147" t="s">
        <v>35</v>
      </c>
      <c r="C147" t="s">
        <v>23</v>
      </c>
      <c r="D147" s="4">
        <v>3901.3</v>
      </c>
      <c r="E147">
        <v>28</v>
      </c>
      <c r="F147" s="4">
        <v>138.57</v>
      </c>
      <c r="G147" s="5">
        <v>0.104</v>
      </c>
      <c r="H147" s="5">
        <v>3.5999999999999997E-2</v>
      </c>
      <c r="I147">
        <v>0</v>
      </c>
      <c r="J147">
        <v>18</v>
      </c>
    </row>
    <row r="148" spans="1:10">
      <c r="A148" t="s">
        <v>164</v>
      </c>
      <c r="B148" t="s">
        <v>11</v>
      </c>
      <c r="C148" t="s">
        <v>14</v>
      </c>
      <c r="D148" s="4">
        <v>280.82</v>
      </c>
      <c r="E148">
        <v>1</v>
      </c>
      <c r="F148" s="4">
        <v>120.36</v>
      </c>
      <c r="G148" s="5">
        <v>0.16400000000000001</v>
      </c>
      <c r="H148" s="5">
        <v>0.105</v>
      </c>
      <c r="I148">
        <v>4</v>
      </c>
      <c r="J148">
        <v>221</v>
      </c>
    </row>
    <row r="149" spans="1:10">
      <c r="A149" t="s">
        <v>165</v>
      </c>
      <c r="B149" t="s">
        <v>11</v>
      </c>
      <c r="C149" t="s">
        <v>12</v>
      </c>
      <c r="D149" s="4">
        <v>2132.6799999999998</v>
      </c>
      <c r="E149">
        <v>35</v>
      </c>
      <c r="F149" s="4">
        <v>61.21</v>
      </c>
      <c r="G149" s="5">
        <v>0.32200000000000001</v>
      </c>
      <c r="H149" s="5">
        <v>8.6999999999999994E-2</v>
      </c>
      <c r="I149">
        <v>0</v>
      </c>
      <c r="J149">
        <v>27</v>
      </c>
    </row>
    <row r="150" spans="1:10">
      <c r="A150" t="s">
        <v>166</v>
      </c>
      <c r="B150" t="s">
        <v>11</v>
      </c>
      <c r="C150" t="s">
        <v>12</v>
      </c>
      <c r="D150" s="4">
        <v>2049.81</v>
      </c>
      <c r="E150">
        <v>34</v>
      </c>
      <c r="F150" s="4">
        <v>56.82</v>
      </c>
      <c r="G150" s="5">
        <v>0.25</v>
      </c>
      <c r="H150" s="5">
        <v>0.1</v>
      </c>
      <c r="I150">
        <v>3</v>
      </c>
      <c r="J150">
        <v>28</v>
      </c>
    </row>
    <row r="151" spans="1:10">
      <c r="A151" t="s">
        <v>167</v>
      </c>
      <c r="B151" t="s">
        <v>11</v>
      </c>
      <c r="C151" t="s">
        <v>26</v>
      </c>
      <c r="D151" s="4">
        <v>2908.51</v>
      </c>
      <c r="E151">
        <v>8</v>
      </c>
      <c r="F151" s="4">
        <v>322.29000000000002</v>
      </c>
      <c r="G151" s="5">
        <v>0.113</v>
      </c>
      <c r="H151" s="5">
        <v>7.4999999999999997E-2</v>
      </c>
      <c r="I151">
        <v>0</v>
      </c>
      <c r="J151">
        <v>57</v>
      </c>
    </row>
    <row r="152" spans="1:10">
      <c r="A152" t="s">
        <v>168</v>
      </c>
      <c r="B152" t="s">
        <v>16</v>
      </c>
      <c r="C152" t="s">
        <v>23</v>
      </c>
      <c r="D152" s="4">
        <v>2915.86</v>
      </c>
      <c r="E152">
        <v>8</v>
      </c>
      <c r="F152" s="4">
        <v>358.88</v>
      </c>
      <c r="G152" s="5">
        <v>0.111</v>
      </c>
      <c r="H152" s="5">
        <v>4.3999999999999997E-2</v>
      </c>
      <c r="I152">
        <v>0</v>
      </c>
      <c r="J152">
        <v>137</v>
      </c>
    </row>
    <row r="153" spans="1:10">
      <c r="A153" t="s">
        <v>169</v>
      </c>
      <c r="B153" t="s">
        <v>21</v>
      </c>
      <c r="C153" t="s">
        <v>12</v>
      </c>
      <c r="D153" s="4">
        <v>655.4</v>
      </c>
      <c r="E153">
        <v>4</v>
      </c>
      <c r="F153" s="4">
        <v>152.62</v>
      </c>
      <c r="G153" s="5">
        <v>0.14499999999999999</v>
      </c>
      <c r="H153" s="5">
        <v>0.108</v>
      </c>
      <c r="I153">
        <v>3</v>
      </c>
      <c r="J153">
        <v>162</v>
      </c>
    </row>
    <row r="154" spans="1:10">
      <c r="A154" t="s">
        <v>170</v>
      </c>
      <c r="B154" t="s">
        <v>35</v>
      </c>
      <c r="C154" t="s">
        <v>12</v>
      </c>
      <c r="D154" s="4">
        <v>1882.95</v>
      </c>
      <c r="E154">
        <v>31</v>
      </c>
      <c r="F154" s="4">
        <v>69.430000000000007</v>
      </c>
      <c r="G154" s="5">
        <v>0.24099999999999999</v>
      </c>
      <c r="H154" s="5">
        <v>0.111</v>
      </c>
      <c r="I154">
        <v>2</v>
      </c>
      <c r="J154">
        <v>23</v>
      </c>
    </row>
    <row r="155" spans="1:10">
      <c r="A155" t="s">
        <v>171</v>
      </c>
      <c r="B155" t="s">
        <v>35</v>
      </c>
      <c r="C155" t="s">
        <v>23</v>
      </c>
      <c r="D155" s="4">
        <v>2285.46</v>
      </c>
      <c r="E155">
        <v>9</v>
      </c>
      <c r="F155" s="4">
        <v>274.5</v>
      </c>
      <c r="G155" s="5">
        <v>6.3E-2</v>
      </c>
      <c r="H155" s="5">
        <v>6.3E-2</v>
      </c>
      <c r="I155">
        <v>0</v>
      </c>
      <c r="J155">
        <v>82</v>
      </c>
    </row>
    <row r="156" spans="1:10">
      <c r="A156" t="s">
        <v>172</v>
      </c>
      <c r="B156" t="s">
        <v>16</v>
      </c>
      <c r="C156" t="s">
        <v>23</v>
      </c>
      <c r="D156" s="4">
        <v>2998.94</v>
      </c>
      <c r="E156">
        <v>18</v>
      </c>
      <c r="F156" s="4">
        <v>82.97</v>
      </c>
      <c r="G156" s="5">
        <v>5.7000000000000002E-2</v>
      </c>
      <c r="H156" s="5">
        <v>5.0000000000000001E-3</v>
      </c>
      <c r="I156">
        <v>0</v>
      </c>
      <c r="J156">
        <v>8</v>
      </c>
    </row>
    <row r="157" spans="1:10">
      <c r="A157" t="s">
        <v>173</v>
      </c>
      <c r="B157" t="s">
        <v>11</v>
      </c>
      <c r="C157" t="s">
        <v>23</v>
      </c>
      <c r="D157" s="4">
        <v>5612.45</v>
      </c>
      <c r="E157">
        <v>44</v>
      </c>
      <c r="F157" s="4">
        <v>162.29</v>
      </c>
      <c r="G157" s="5">
        <v>3.6999999999999998E-2</v>
      </c>
      <c r="H157" s="5">
        <v>3.0000000000000001E-3</v>
      </c>
      <c r="I157">
        <v>0</v>
      </c>
      <c r="J157">
        <v>25</v>
      </c>
    </row>
    <row r="158" spans="1:10">
      <c r="A158" t="s">
        <v>174</v>
      </c>
      <c r="B158" t="s">
        <v>21</v>
      </c>
      <c r="C158" t="s">
        <v>14</v>
      </c>
      <c r="D158" s="4">
        <v>2639.72</v>
      </c>
      <c r="E158">
        <v>8</v>
      </c>
      <c r="F158" s="4">
        <v>278.47000000000003</v>
      </c>
      <c r="G158" s="5">
        <v>0.13</v>
      </c>
      <c r="H158" s="5">
        <v>6.2E-2</v>
      </c>
      <c r="I158">
        <v>0</v>
      </c>
      <c r="J158">
        <v>53</v>
      </c>
    </row>
    <row r="159" spans="1:10">
      <c r="A159" t="s">
        <v>175</v>
      </c>
      <c r="B159" t="s">
        <v>16</v>
      </c>
      <c r="C159" t="s">
        <v>14</v>
      </c>
      <c r="D159" s="4">
        <v>534.54</v>
      </c>
      <c r="E159">
        <v>5</v>
      </c>
      <c r="F159" s="4">
        <v>88.95</v>
      </c>
      <c r="G159" s="5">
        <v>0.20799999999999999</v>
      </c>
      <c r="H159" s="5">
        <v>0.115</v>
      </c>
      <c r="I159">
        <v>2</v>
      </c>
      <c r="J159">
        <v>126</v>
      </c>
    </row>
    <row r="160" spans="1:10">
      <c r="A160" t="s">
        <v>176</v>
      </c>
      <c r="B160" t="s">
        <v>21</v>
      </c>
      <c r="C160" t="s">
        <v>14</v>
      </c>
      <c r="D160" s="4">
        <v>468.3</v>
      </c>
      <c r="E160">
        <v>2</v>
      </c>
      <c r="F160" s="4">
        <v>160.53</v>
      </c>
      <c r="G160" s="5">
        <v>0.17100000000000001</v>
      </c>
      <c r="H160" s="5">
        <v>0.13500000000000001</v>
      </c>
      <c r="I160">
        <v>4</v>
      </c>
      <c r="J160">
        <v>101</v>
      </c>
    </row>
    <row r="161" spans="1:10">
      <c r="A161" t="s">
        <v>177</v>
      </c>
      <c r="B161" t="s">
        <v>16</v>
      </c>
      <c r="C161" t="s">
        <v>26</v>
      </c>
      <c r="D161" s="4">
        <v>5057.09</v>
      </c>
      <c r="E161">
        <v>30</v>
      </c>
      <c r="F161" s="4">
        <v>174.34</v>
      </c>
      <c r="G161" s="5">
        <v>5.8999999999999997E-2</v>
      </c>
      <c r="H161" s="5">
        <v>3.5000000000000003E-2</v>
      </c>
      <c r="I161">
        <v>0</v>
      </c>
      <c r="J161">
        <v>15</v>
      </c>
    </row>
    <row r="162" spans="1:10">
      <c r="A162" t="s">
        <v>178</v>
      </c>
      <c r="B162" t="s">
        <v>21</v>
      </c>
      <c r="C162" t="s">
        <v>12</v>
      </c>
      <c r="D162" s="4">
        <v>3849.19</v>
      </c>
      <c r="E162">
        <v>26</v>
      </c>
      <c r="F162" s="4">
        <v>148.5</v>
      </c>
      <c r="G162" s="5">
        <v>2.7E-2</v>
      </c>
      <c r="H162" s="5">
        <v>7.2999999999999995E-2</v>
      </c>
      <c r="I162">
        <v>0</v>
      </c>
      <c r="J162">
        <v>25</v>
      </c>
    </row>
    <row r="163" spans="1:10">
      <c r="A163" t="s">
        <v>179</v>
      </c>
      <c r="B163" t="s">
        <v>16</v>
      </c>
      <c r="C163" t="s">
        <v>14</v>
      </c>
      <c r="D163" s="4">
        <v>622.77</v>
      </c>
      <c r="E163">
        <v>4</v>
      </c>
      <c r="F163" s="4">
        <v>160.1</v>
      </c>
      <c r="G163" s="5">
        <v>0.17799999999999999</v>
      </c>
      <c r="H163" s="5">
        <v>0.13200000000000001</v>
      </c>
      <c r="I163">
        <v>3</v>
      </c>
      <c r="J163">
        <v>126</v>
      </c>
    </row>
    <row r="164" spans="1:10">
      <c r="A164" t="s">
        <v>180</v>
      </c>
      <c r="B164" t="s">
        <v>11</v>
      </c>
      <c r="C164" t="s">
        <v>23</v>
      </c>
      <c r="D164" s="4">
        <v>2294.42</v>
      </c>
      <c r="E164">
        <v>24</v>
      </c>
      <c r="F164" s="4">
        <v>82.21</v>
      </c>
      <c r="G164" s="5">
        <v>0.23499999999999999</v>
      </c>
      <c r="H164" s="5">
        <v>0.104</v>
      </c>
      <c r="I164">
        <v>2</v>
      </c>
      <c r="J164">
        <v>17</v>
      </c>
    </row>
    <row r="165" spans="1:10">
      <c r="A165" t="s">
        <v>181</v>
      </c>
      <c r="B165" t="s">
        <v>21</v>
      </c>
      <c r="C165" t="s">
        <v>12</v>
      </c>
      <c r="D165" s="4">
        <v>2025.59</v>
      </c>
      <c r="E165">
        <v>26</v>
      </c>
      <c r="F165" s="4">
        <v>76.89</v>
      </c>
      <c r="G165" s="5">
        <v>0.21299999999999999</v>
      </c>
      <c r="H165" s="5">
        <v>5.2999999999999999E-2</v>
      </c>
      <c r="I165">
        <v>2</v>
      </c>
      <c r="J165">
        <v>44</v>
      </c>
    </row>
    <row r="166" spans="1:10">
      <c r="A166" t="s">
        <v>182</v>
      </c>
      <c r="B166" t="s">
        <v>21</v>
      </c>
      <c r="C166" t="s">
        <v>14</v>
      </c>
      <c r="D166" s="4">
        <v>2275.64</v>
      </c>
      <c r="E166">
        <v>28</v>
      </c>
      <c r="F166" s="4">
        <v>72.67</v>
      </c>
      <c r="G166" s="5">
        <v>0.19800000000000001</v>
      </c>
      <c r="H166" s="5">
        <v>0.104</v>
      </c>
      <c r="I166">
        <v>2</v>
      </c>
      <c r="J166">
        <v>29</v>
      </c>
    </row>
    <row r="167" spans="1:10">
      <c r="A167" t="s">
        <v>183</v>
      </c>
      <c r="B167" t="s">
        <v>35</v>
      </c>
      <c r="C167" t="s">
        <v>12</v>
      </c>
      <c r="D167" s="4">
        <v>3095.89</v>
      </c>
      <c r="E167">
        <v>8</v>
      </c>
      <c r="F167" s="4">
        <v>400.13</v>
      </c>
      <c r="G167" s="5">
        <v>8.2000000000000003E-2</v>
      </c>
      <c r="H167" s="5">
        <v>4.9000000000000002E-2</v>
      </c>
      <c r="I167">
        <v>0</v>
      </c>
      <c r="J167">
        <v>76</v>
      </c>
    </row>
    <row r="168" spans="1:10">
      <c r="A168" t="s">
        <v>184</v>
      </c>
      <c r="B168" t="s">
        <v>35</v>
      </c>
      <c r="C168" t="s">
        <v>14</v>
      </c>
      <c r="D168" s="4">
        <v>2709.41</v>
      </c>
      <c r="E168">
        <v>9</v>
      </c>
      <c r="F168" s="4">
        <v>287.3</v>
      </c>
      <c r="G168" s="5">
        <v>4.8000000000000001E-2</v>
      </c>
      <c r="H168" s="5">
        <v>9.6000000000000002E-2</v>
      </c>
      <c r="I168">
        <v>0</v>
      </c>
      <c r="J168">
        <v>64</v>
      </c>
    </row>
    <row r="169" spans="1:10">
      <c r="A169" t="s">
        <v>185</v>
      </c>
      <c r="B169" t="s">
        <v>16</v>
      </c>
      <c r="C169" t="s">
        <v>12</v>
      </c>
      <c r="D169" s="4">
        <v>2551.25</v>
      </c>
      <c r="E169">
        <v>9</v>
      </c>
      <c r="F169" s="4">
        <v>329.55</v>
      </c>
      <c r="G169" s="5">
        <v>0.108</v>
      </c>
      <c r="H169" s="5">
        <v>7.0000000000000007E-2</v>
      </c>
      <c r="I169">
        <v>1</v>
      </c>
      <c r="J169">
        <v>54</v>
      </c>
    </row>
    <row r="170" spans="1:10">
      <c r="A170" t="s">
        <v>186</v>
      </c>
      <c r="B170" t="s">
        <v>16</v>
      </c>
      <c r="C170" t="s">
        <v>26</v>
      </c>
      <c r="D170" s="4">
        <v>3341.11</v>
      </c>
      <c r="E170">
        <v>17</v>
      </c>
      <c r="F170" s="4">
        <v>151.52000000000001</v>
      </c>
      <c r="G170" s="5">
        <v>2.9000000000000001E-2</v>
      </c>
      <c r="H170" s="5">
        <v>2.7E-2</v>
      </c>
      <c r="I170">
        <v>2</v>
      </c>
      <c r="J170">
        <v>21</v>
      </c>
    </row>
    <row r="171" spans="1:10">
      <c r="A171" t="s">
        <v>187</v>
      </c>
      <c r="B171" t="s">
        <v>11</v>
      </c>
      <c r="C171" t="s">
        <v>14</v>
      </c>
      <c r="D171" s="4">
        <v>406.79</v>
      </c>
      <c r="E171">
        <v>1</v>
      </c>
      <c r="F171" s="4">
        <v>173.16</v>
      </c>
      <c r="G171" s="5">
        <v>0.22900000000000001</v>
      </c>
      <c r="H171" s="5">
        <v>0.11600000000000001</v>
      </c>
      <c r="I171">
        <v>3</v>
      </c>
      <c r="J171">
        <v>125</v>
      </c>
    </row>
    <row r="172" spans="1:10">
      <c r="A172" t="s">
        <v>188</v>
      </c>
      <c r="B172" t="s">
        <v>21</v>
      </c>
      <c r="C172" t="s">
        <v>23</v>
      </c>
      <c r="D172" s="4">
        <v>5092.1899999999996</v>
      </c>
      <c r="E172">
        <v>31</v>
      </c>
      <c r="F172" s="4">
        <v>159.12</v>
      </c>
      <c r="G172" s="5">
        <v>6.8000000000000005E-2</v>
      </c>
      <c r="H172" s="5">
        <v>0</v>
      </c>
      <c r="I172">
        <v>0</v>
      </c>
      <c r="J172">
        <v>28</v>
      </c>
    </row>
    <row r="173" spans="1:10">
      <c r="A173" t="s">
        <v>189</v>
      </c>
      <c r="B173" t="s">
        <v>35</v>
      </c>
      <c r="C173" t="s">
        <v>23</v>
      </c>
      <c r="D173" s="4">
        <v>4159.66</v>
      </c>
      <c r="E173">
        <v>22</v>
      </c>
      <c r="F173" s="4">
        <v>167.82</v>
      </c>
      <c r="G173" s="5">
        <v>0.11899999999999999</v>
      </c>
      <c r="H173" s="5">
        <v>9.2999999999999999E-2</v>
      </c>
      <c r="I173">
        <v>0</v>
      </c>
      <c r="J173">
        <v>27</v>
      </c>
    </row>
    <row r="174" spans="1:10">
      <c r="A174" t="s">
        <v>190</v>
      </c>
      <c r="B174" t="s">
        <v>35</v>
      </c>
      <c r="C174" t="s">
        <v>12</v>
      </c>
      <c r="D174" s="4">
        <v>450.18</v>
      </c>
      <c r="E174">
        <v>3</v>
      </c>
      <c r="F174" s="4">
        <v>138.75</v>
      </c>
      <c r="G174" s="5">
        <v>0.17100000000000001</v>
      </c>
      <c r="H174" s="5">
        <v>0.14099999999999999</v>
      </c>
      <c r="I174">
        <v>3</v>
      </c>
      <c r="J174">
        <v>156</v>
      </c>
    </row>
    <row r="175" spans="1:10">
      <c r="A175" t="s">
        <v>191</v>
      </c>
      <c r="B175" t="s">
        <v>21</v>
      </c>
      <c r="C175" t="s">
        <v>12</v>
      </c>
      <c r="D175" s="4">
        <v>3046.64</v>
      </c>
      <c r="E175">
        <v>10</v>
      </c>
      <c r="F175" s="4">
        <v>384.35</v>
      </c>
      <c r="G175" s="5">
        <v>7.6999999999999999E-2</v>
      </c>
      <c r="H175" s="5">
        <v>2.8000000000000001E-2</v>
      </c>
      <c r="I175">
        <v>1</v>
      </c>
      <c r="J175">
        <v>63</v>
      </c>
    </row>
    <row r="176" spans="1:10">
      <c r="A176" t="s">
        <v>192</v>
      </c>
      <c r="B176" t="s">
        <v>21</v>
      </c>
      <c r="C176" t="s">
        <v>23</v>
      </c>
      <c r="D176" s="4">
        <v>2415.84</v>
      </c>
      <c r="E176">
        <v>26</v>
      </c>
      <c r="F176" s="4">
        <v>86.44</v>
      </c>
      <c r="G176" s="5">
        <v>0.185</v>
      </c>
      <c r="H176" s="5">
        <v>9.0999999999999998E-2</v>
      </c>
      <c r="I176">
        <v>1</v>
      </c>
      <c r="J176">
        <v>30</v>
      </c>
    </row>
    <row r="177" spans="1:10">
      <c r="A177" t="s">
        <v>193</v>
      </c>
      <c r="B177" t="s">
        <v>11</v>
      </c>
      <c r="C177" t="s">
        <v>14</v>
      </c>
      <c r="D177" s="4">
        <v>3060.52</v>
      </c>
      <c r="E177">
        <v>9</v>
      </c>
      <c r="F177" s="4">
        <v>341.41</v>
      </c>
      <c r="G177" s="5">
        <v>0.128</v>
      </c>
      <c r="H177" s="5">
        <v>2.1999999999999999E-2</v>
      </c>
      <c r="I177">
        <v>0</v>
      </c>
      <c r="J177">
        <v>91</v>
      </c>
    </row>
    <row r="178" spans="1:10">
      <c r="A178" t="s">
        <v>194</v>
      </c>
      <c r="B178" t="s">
        <v>21</v>
      </c>
      <c r="C178" t="s">
        <v>26</v>
      </c>
      <c r="D178" s="4">
        <v>3305.24</v>
      </c>
      <c r="E178">
        <v>23</v>
      </c>
      <c r="F178" s="4">
        <v>143.87</v>
      </c>
      <c r="G178" s="5">
        <v>0.08</v>
      </c>
      <c r="H178" s="5">
        <v>2.5000000000000001E-2</v>
      </c>
      <c r="I178">
        <v>0</v>
      </c>
      <c r="J178">
        <v>31</v>
      </c>
    </row>
    <row r="179" spans="1:10">
      <c r="A179" t="s">
        <v>195</v>
      </c>
      <c r="B179" t="s">
        <v>11</v>
      </c>
      <c r="C179" t="s">
        <v>12</v>
      </c>
      <c r="D179" s="4">
        <v>4633.7</v>
      </c>
      <c r="E179">
        <v>23</v>
      </c>
      <c r="F179" s="4">
        <v>206.72</v>
      </c>
      <c r="G179" s="5">
        <v>7.5999999999999998E-2</v>
      </c>
      <c r="H179" s="5">
        <v>4.2999999999999997E-2</v>
      </c>
      <c r="I179">
        <v>2</v>
      </c>
      <c r="J179">
        <v>10</v>
      </c>
    </row>
    <row r="180" spans="1:10">
      <c r="A180" t="s">
        <v>196</v>
      </c>
      <c r="B180" t="s">
        <v>16</v>
      </c>
      <c r="C180" t="s">
        <v>14</v>
      </c>
      <c r="D180" s="4">
        <v>2173.33</v>
      </c>
      <c r="E180">
        <v>26</v>
      </c>
      <c r="F180" s="4">
        <v>73.61</v>
      </c>
      <c r="G180" s="5">
        <v>0.20100000000000001</v>
      </c>
      <c r="H180" s="5">
        <v>0.11799999999999999</v>
      </c>
      <c r="I180">
        <v>1</v>
      </c>
      <c r="J180">
        <v>28</v>
      </c>
    </row>
    <row r="181" spans="1:10">
      <c r="A181" t="s">
        <v>197</v>
      </c>
      <c r="B181" t="s">
        <v>35</v>
      </c>
      <c r="C181" t="s">
        <v>14</v>
      </c>
      <c r="D181" s="4">
        <v>1144.48</v>
      </c>
      <c r="E181">
        <v>8</v>
      </c>
      <c r="F181" s="4">
        <v>167.69</v>
      </c>
      <c r="G181" s="5">
        <v>0.16300000000000001</v>
      </c>
      <c r="H181" s="5">
        <v>0.14499999999999999</v>
      </c>
      <c r="I181">
        <v>3</v>
      </c>
      <c r="J181">
        <v>204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7"/>
  <cols>
    <col min="1" max="1" width="38.5" customWidth="1"/>
    <col min="2" max="2" width="94.609375" customWidth="1"/>
  </cols>
  <sheetData>
    <row r="1" spans="1:2" ht="20">
      <c r="A1" s="1" t="s">
        <v>198</v>
      </c>
      <c r="B1" s="1"/>
    </row>
    <row r="2" spans="1:2">
      <c r="A2" s="2" t="s">
        <v>199</v>
      </c>
      <c r="B2" t="s">
        <v>200</v>
      </c>
    </row>
    <row r="3" spans="1:2">
      <c r="A3" s="2" t="s">
        <v>201</v>
      </c>
      <c r="B3" t="s">
        <v>202</v>
      </c>
    </row>
    <row r="4" spans="1:2">
      <c r="A4" s="2" t="s">
        <v>203</v>
      </c>
      <c r="B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2026-05-30T14:28:18Z</dcterms:modified>
</cp:coreProperties>
</file>
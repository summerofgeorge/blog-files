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3"/>
  <workbookPr/>
  <mc:AlternateContent xmlns:mc="http://schemas.openxmlformats.org/markup-compatibility/2006">
    <mc:Choice Requires="x15">
      <x15ac:absPath xmlns:x15ac="http://schemas.microsoft.com/office/spreadsheetml/2010/11/ac" url="C:\Users\GeorgeMount\Documents\GitHub\blog-files\"/>
    </mc:Choice>
  </mc:AlternateContent>
  <xr:revisionPtr revIDLastSave="0" documentId="13_ncr:1_{214D9BE8-F892-4AD3-AC99-5C59468CB911}" xr6:coauthVersionLast="47" xr6:coauthVersionMax="47" xr10:uidLastSave="{00000000-0000-0000-0000-000000000000}"/>
  <bookViews>
    <workbookView xWindow="-98" yWindow="-98" windowWidth="18915" windowHeight="12676" tabRatio="500" activeTab="1" xr2:uid="{00000000-000D-0000-FFFF-FFFF00000000}"/>
  </bookViews>
  <sheets>
    <sheet name="Data" sheetId="2" r:id="rId1"/>
    <sheet name="Tutorial" sheetId="3" r:id="rId2"/>
  </sheets>
  <definedNames>
    <definedName name="RegionList">Data!$M$5:$M$8</definedName>
    <definedName name="TaxRate">Data!$N$2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" i="3" l="1" a="1"/>
  <c r="B4" i="3" s="1" a="1"/>
  <c r="B6" i="3" s="1" a="1"/>
  <c r="B9" i="3" s="1" a="1"/>
  <c r="B16" i="3" s="1" a="1"/>
  <c r="B18" i="3" s="1" a="1"/>
  <c r="B20" i="3" s="1" a="1"/>
  <c r="B31" i="3" s="1" a="1"/>
  <c r="B44" i="3" s="1" a="1"/>
  <c r="B51" i="3" s="1" a="1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K14" i="2"/>
  <c r="J14" i="2"/>
  <c r="F14" i="2"/>
  <c r="K13" i="2"/>
  <c r="J13" i="2"/>
  <c r="F13" i="2"/>
  <c r="K12" i="2"/>
  <c r="J12" i="2"/>
  <c r="F12" i="2"/>
  <c r="K11" i="2"/>
  <c r="J11" i="2"/>
  <c r="F11" i="2"/>
  <c r="K10" i="2"/>
  <c r="J10" i="2"/>
  <c r="F10" i="2"/>
  <c r="K9" i="2"/>
  <c r="J9" i="2"/>
  <c r="F9" i="2"/>
  <c r="K8" i="2"/>
  <c r="J8" i="2"/>
  <c r="F8" i="2"/>
  <c r="K7" i="2"/>
  <c r="J7" i="2"/>
  <c r="F7" i="2"/>
  <c r="K6" i="2"/>
  <c r="J6" i="2"/>
  <c r="F6" i="2"/>
  <c r="K5" i="2"/>
  <c r="J5" i="2"/>
  <c r="F5" i="2"/>
  <c r="K4" i="2"/>
  <c r="J4" i="2"/>
  <c r="F4" i="2"/>
  <c r="K3" i="2"/>
  <c r="J3" i="2"/>
  <c r="F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3"/>
        </ext>
      </extLst>
    </bk>
  </futureMetadata>
  <cellMetadata count="1">
    <bk>
      <rc t="1" v="0"/>
    </bk>
  </cellMetadata>
  <valueMetadata count="3">
    <bk>
      <rc t="2" v="0"/>
    </bk>
    <bk>
      <rc t="2" v="1"/>
    </bk>
    <bk>
      <rc t="2" v="2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sales = xl(%P2%, headers=True)
forecast = xl(%P3%, headers=True)
tax_rate = xl(%P4%)
regions = xl(%P5%).squeeze(axis=1).tolist()
"Variables loaded"</code>
    </pythonScript>
    <pythonScript>
      <code>type(sales)</code>
    </pythonScript>
    <pythonScript>
      <code>sales.shape</code>
    </pythonScript>
    <pythonScript>
      <code>sales.head()</code>
    </pythonScript>
    <pythonScript>
      <code>%%who</code>
    </pythonScript>
    <pythonScript>
      <code>%%whos</code>
    </pythonScript>
    <pythonScript>
      <code>dir()[:10]</code>
    </pythonScript>
    <pythonScript>
      <code>[name for name in dir() if not name.startswith("_")]</code>
    </pythonScript>
    <pythonScript>
      <code>pd.DataFrame([
    {
        "Variable": name,
        "Type": type(value).__name__,
        "Preview": repr(value)[:100]
    }
    for name, value in globals().items()
    if not name.startswith("_")
    and not callable(value)
    and type(value).__name__ != "module"
])</code>
    </pythonScript>
    <pythonScript>
      <code>[
    name
    for name, value in globals().items()
    if type(value).__name__ == "module"
    and not name.startswith("_")
]</code>
    </pythonScript>
  </pythonScripts>
</python>
</file>

<file path=xl/sharedStrings.xml><?xml version="1.0" encoding="utf-8"?>
<sst xmlns="http://schemas.openxmlformats.org/spreadsheetml/2006/main" count="213" uniqueCount="23">
  <si>
    <t>Sales</t>
  </si>
  <si>
    <t>Forecast</t>
  </si>
  <si>
    <t>Parameters</t>
  </si>
  <si>
    <t>Date</t>
  </si>
  <si>
    <t>Region</t>
  </si>
  <si>
    <t>Product</t>
  </si>
  <si>
    <t>Units</t>
  </si>
  <si>
    <t>Unit Price</t>
  </si>
  <si>
    <t>Revenue</t>
  </si>
  <si>
    <t>Month</t>
  </si>
  <si>
    <t>Forecast Revenue</t>
  </si>
  <si>
    <t>Low</t>
  </si>
  <si>
    <t>High</t>
  </si>
  <si>
    <t>Tax rate</t>
  </si>
  <si>
    <t>North</t>
  </si>
  <si>
    <t>Widget</t>
  </si>
  <si>
    <t>Gadget</t>
  </si>
  <si>
    <t>Regions</t>
  </si>
  <si>
    <t>South</t>
  </si>
  <si>
    <t>East</t>
  </si>
  <si>
    <t>West</t>
  </si>
  <si>
    <t>Named ranges: TaxRate = Data!$N$2, RegionList = Data!$M$5:$M$8</t>
  </si>
  <si>
    <t>Sample data is made up for the tutorial. Edit freely.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</si>
</sst>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yyyy\-mm\-dd"/>
    <numFmt numFmtId="166" formatCode="\$#,##0.00"/>
    <numFmt numFmtId="167" formatCode="\$#,##0"/>
  </numFmts>
  <fonts count="6" x14ac:knownFonts="1">
    <font>
      <sz val="11"/>
      <color theme="1"/>
      <name val="Calibri"/>
      <family val="2"/>
      <charset val="1"/>
    </font>
    <font>
      <i/>
      <sz val="10"/>
      <color rgb="FF707070"/>
      <name val="Arial"/>
      <family val="2"/>
    </font>
    <font>
      <sz val="10"/>
      <color rgb="FF1F2120"/>
      <name val="Arial"/>
      <family val="2"/>
    </font>
    <font>
      <sz val="12"/>
      <color rgb="FFCF3338"/>
      <name val="Arial Black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F3338"/>
        <bgColor rgb="FF9933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0" borderId="0" xfId="0" applyFont="1"/>
    <xf numFmtId="0" fontId="4" fillId="2" borderId="0" xfId="0" applyFont="1" applyFill="1"/>
    <xf numFmtId="164" fontId="5" fillId="0" borderId="0" xfId="0" applyNumberFormat="1" applyFont="1"/>
    <xf numFmtId="165" fontId="2" fillId="0" borderId="0" xfId="0" applyNumberFormat="1" applyFont="1"/>
    <xf numFmtId="0" fontId="2" fillId="0" borderId="0" xfId="0" applyFont="1"/>
    <xf numFmtId="166" fontId="2" fillId="0" borderId="0" xfId="0" applyNumberFormat="1" applyFont="1"/>
    <xf numFmtId="167" fontId="2" fillId="0" borderId="0" xfId="0" applyNumberFormat="1" applyFont="1"/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07070"/>
      <rgbColor rgb="FF9999FF"/>
      <rgbColor rgb="FFCF3338"/>
      <rgbColor rgb="FFEEEC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1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" Target="richData/rdsupportingpropertybag.xml"/><Relationship Id="rId5" Type="http://schemas.openxmlformats.org/officeDocument/2006/relationships/sharedStrings" Target="sharedStrings.xml"/><Relationship Id="rId10" Type="http://schemas.microsoft.com/office/2017/06/relationships/rdSupportingPropertyBagStructure" Target="richData/rdsupportingpropertybagstructure.xml"/><Relationship Id="rId4" Type="http://schemas.openxmlformats.org/officeDocument/2006/relationships/styles" Target="styles.xml"/><Relationship Id="rId9" Type="http://schemas.microsoft.com/office/2017/06/relationships/richStyles" Target="richData/richStyles.xml"/><Relationship Id="rId14" Type="http://schemas.microsoft.com/office/2023/09/relationships/Python" Target="pytho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4">
  <rv s="0">
    <fb t="s">Variables loaded</fb>
    <v>&lt;class 'str'&gt;</v>
    <v>str</v>
    <v>Variables loaded</v>
    <v>Variables loaded</v>
    <v>0</v>
  </rv>
  <rv s="1">
    <fb>45658</fb>
    <v>1</v>
  </rv>
  <rv s="1">
    <fb>0</fb>
    <v>2</v>
  </rv>
  <rv s="2">
    <fb>0</fb>
    <v>&lt;class 'NoneType'&gt;</v>
    <v>NoneType</v>
    <v>None</v>
    <v>2</v>
    <v>0</v>
  </rv>
</rvData>
</file>

<file path=xl/richData/rdrichvaluestructure.xml><?xml version="1.0" encoding="utf-8"?>
<rvStructures xmlns="http://schemas.microsoft.com/office/spreadsheetml/2017/richdata" count="3">
  <s t="_python">
    <k n="Python_type" t="s"/>
    <k n="Python_typeName" t="s"/>
    <k n="Python_str" t="s"/>
    <k n="basicValue" t="s"/>
    <k n="_Provider" t="spb"/>
  </s>
  <s t="_formattednumber">
    <k n="_Format" t="spb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https://www.anaconda.com/excel</v>
      <v>https://res.cdn.office.net/officepysvc/prod-preview/anacondalogo.png</v>
      <v>Python provided by Anaconda</v>
    </spb>
    <spb s="1">
      <v>1</v>
    </spb>
    <spb s="1">
      <v>2</v>
    </spb>
  </spbData>
</supportingPropertyBags>
</file>

<file path=xl/richData/rdsupportingpropertybagstructure.xml><?xml version="1.0" encoding="utf-8"?>
<spbStructures xmlns="http://schemas.microsoft.com/office/spreadsheetml/2017/richdata2" count="2">
  <s>
    <k n="link" t="s"/>
    <k n="logo" t="s"/>
    <k n="name" t="s"/>
  </s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0"/>
    <rSty dxfid="1">
      <rpv i="0">0;-0;"None"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ecast" displayName="Forecast" ref="H2:K14" totalsRowShown="0">
  <autoFilter ref="H2:K14" xr:uid="{00000000-0009-0000-0100-000001000000}"/>
  <tableColumns count="4">
    <tableColumn id="1" xr3:uid="{00000000-0010-0000-0000-000001000000}" name="Month"/>
    <tableColumn id="2" xr3:uid="{00000000-0010-0000-0000-000002000000}" name="Forecast Revenue"/>
    <tableColumn id="3" xr3:uid="{00000000-0010-0000-0000-000003000000}" name="Low"/>
    <tableColumn id="4" xr3:uid="{00000000-0010-0000-0000-000004000000}" name="High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ales" displayName="Sales" ref="A2:F98" totalsRowShown="0">
  <autoFilter ref="A2:F98" xr:uid="{00000000-0009-0000-0100-000002000000}"/>
  <tableColumns count="6">
    <tableColumn id="1" xr3:uid="{00000000-0010-0000-0100-000001000000}" name="Date"/>
    <tableColumn id="2" xr3:uid="{00000000-0010-0000-0100-000002000000}" name="Region"/>
    <tableColumn id="3" xr3:uid="{00000000-0010-0000-0100-000003000000}" name="Product"/>
    <tableColumn id="4" xr3:uid="{00000000-0010-0000-0100-000004000000}" name="Units"/>
    <tableColumn id="5" xr3:uid="{00000000-0010-0000-0100-000005000000}" name="Unit Price"/>
    <tableColumn id="6" xr3:uid="{00000000-0010-0000-0100-000006000000}" name="Revenu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8"/>
  <sheetViews>
    <sheetView zoomScaleNormal="100" workbookViewId="0">
      <pane ySplit="2" topLeftCell="A3" activePane="bottomLeft" state="frozen"/>
      <selection pane="bottomLeft"/>
    </sheetView>
  </sheetViews>
  <sheetFormatPr defaultColWidth="8.6640625" defaultRowHeight="14.25" x14ac:dyDescent="0.45"/>
  <cols>
    <col min="1" max="1" width="12" customWidth="1"/>
    <col min="2" max="3" width="10" customWidth="1"/>
    <col min="4" max="4" width="8" customWidth="1"/>
    <col min="5" max="5" width="11" customWidth="1"/>
    <col min="6" max="6" width="12" customWidth="1"/>
    <col min="7" max="7" width="3" customWidth="1"/>
    <col min="8" max="8" width="12" customWidth="1"/>
    <col min="9" max="9" width="17" customWidth="1"/>
    <col min="10" max="11" width="11" customWidth="1"/>
    <col min="12" max="12" width="3" customWidth="1"/>
    <col min="13" max="13" width="14" customWidth="1"/>
    <col min="14" max="14" width="10" customWidth="1"/>
  </cols>
  <sheetData>
    <row r="1" spans="1:14" ht="18.399999999999999" x14ac:dyDescent="0.7">
      <c r="A1" s="2" t="s">
        <v>0</v>
      </c>
      <c r="H1" s="2" t="s">
        <v>1</v>
      </c>
      <c r="M1" s="2" t="s">
        <v>2</v>
      </c>
    </row>
    <row r="2" spans="1:14" x14ac:dyDescent="0.45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M2" s="3" t="s">
        <v>13</v>
      </c>
      <c r="N2" s="4">
        <v>7.0000000000000007E-2</v>
      </c>
    </row>
    <row r="3" spans="1:14" x14ac:dyDescent="0.45">
      <c r="A3" s="5">
        <v>45658</v>
      </c>
      <c r="B3" s="6" t="s">
        <v>14</v>
      </c>
      <c r="C3" s="6" t="s">
        <v>15</v>
      </c>
      <c r="D3" s="6">
        <v>207</v>
      </c>
      <c r="E3" s="7">
        <v>23.58</v>
      </c>
      <c r="F3" s="7">
        <f t="shared" ref="F3:F34" si="0">D3*E3</f>
        <v>4881.0599999999995</v>
      </c>
      <c r="H3" s="5">
        <v>46023</v>
      </c>
      <c r="I3" s="8">
        <v>51336</v>
      </c>
      <c r="J3" s="8">
        <f t="shared" ref="J3:J14" si="1">ROUND(I3*0.9,0)</f>
        <v>46202</v>
      </c>
      <c r="K3" s="8">
        <f t="shared" ref="K3:K14" si="2">ROUND(I3*1.1,0)</f>
        <v>56470</v>
      </c>
    </row>
    <row r="4" spans="1:14" x14ac:dyDescent="0.45">
      <c r="A4" s="5">
        <v>45658</v>
      </c>
      <c r="B4" s="6" t="s">
        <v>14</v>
      </c>
      <c r="C4" s="6" t="s">
        <v>16</v>
      </c>
      <c r="D4" s="6">
        <v>114</v>
      </c>
      <c r="E4" s="7">
        <v>59.59</v>
      </c>
      <c r="F4" s="7">
        <f t="shared" si="0"/>
        <v>6793.26</v>
      </c>
      <c r="H4" s="5">
        <v>46054</v>
      </c>
      <c r="I4" s="8">
        <v>56639</v>
      </c>
      <c r="J4" s="8">
        <f t="shared" si="1"/>
        <v>50975</v>
      </c>
      <c r="K4" s="8">
        <f t="shared" si="2"/>
        <v>62303</v>
      </c>
      <c r="M4" s="3" t="s">
        <v>17</v>
      </c>
    </row>
    <row r="5" spans="1:14" x14ac:dyDescent="0.45">
      <c r="A5" s="5">
        <v>45658</v>
      </c>
      <c r="B5" s="6" t="s">
        <v>18</v>
      </c>
      <c r="C5" s="6" t="s">
        <v>15</v>
      </c>
      <c r="D5" s="6">
        <v>79</v>
      </c>
      <c r="E5" s="7">
        <v>25.26</v>
      </c>
      <c r="F5" s="7">
        <f t="shared" si="0"/>
        <v>1995.5400000000002</v>
      </c>
      <c r="H5" s="5">
        <v>46082</v>
      </c>
      <c r="I5" s="8">
        <v>55194</v>
      </c>
      <c r="J5" s="8">
        <f t="shared" si="1"/>
        <v>49675</v>
      </c>
      <c r="K5" s="8">
        <f t="shared" si="2"/>
        <v>60713</v>
      </c>
      <c r="M5" s="6" t="s">
        <v>14</v>
      </c>
    </row>
    <row r="6" spans="1:14" x14ac:dyDescent="0.45">
      <c r="A6" s="5">
        <v>45658</v>
      </c>
      <c r="B6" s="6" t="s">
        <v>18</v>
      </c>
      <c r="C6" s="6" t="s">
        <v>16</v>
      </c>
      <c r="D6" s="6">
        <v>217</v>
      </c>
      <c r="E6" s="7">
        <v>62.92</v>
      </c>
      <c r="F6" s="7">
        <f t="shared" si="0"/>
        <v>13653.640000000001</v>
      </c>
      <c r="H6" s="5">
        <v>46113</v>
      </c>
      <c r="I6" s="8">
        <v>57037</v>
      </c>
      <c r="J6" s="8">
        <f t="shared" si="1"/>
        <v>51333</v>
      </c>
      <c r="K6" s="8">
        <f t="shared" si="2"/>
        <v>62741</v>
      </c>
      <c r="M6" s="6" t="s">
        <v>18</v>
      </c>
    </row>
    <row r="7" spans="1:14" x14ac:dyDescent="0.45">
      <c r="A7" s="5">
        <v>45658</v>
      </c>
      <c r="B7" s="6" t="s">
        <v>19</v>
      </c>
      <c r="C7" s="6" t="s">
        <v>15</v>
      </c>
      <c r="D7" s="6">
        <v>183</v>
      </c>
      <c r="E7" s="7">
        <v>23.51</v>
      </c>
      <c r="F7" s="7">
        <f t="shared" si="0"/>
        <v>4302.33</v>
      </c>
      <c r="H7" s="5">
        <v>46143</v>
      </c>
      <c r="I7" s="8">
        <v>58657</v>
      </c>
      <c r="J7" s="8">
        <f t="shared" si="1"/>
        <v>52791</v>
      </c>
      <c r="K7" s="8">
        <f t="shared" si="2"/>
        <v>64523</v>
      </c>
      <c r="M7" s="6" t="s">
        <v>19</v>
      </c>
    </row>
    <row r="8" spans="1:14" x14ac:dyDescent="0.45">
      <c r="A8" s="5">
        <v>45658</v>
      </c>
      <c r="B8" s="6" t="s">
        <v>19</v>
      </c>
      <c r="C8" s="6" t="s">
        <v>16</v>
      </c>
      <c r="D8" s="6">
        <v>152</v>
      </c>
      <c r="E8" s="7">
        <v>58.16</v>
      </c>
      <c r="F8" s="7">
        <f t="shared" si="0"/>
        <v>8840.32</v>
      </c>
      <c r="H8" s="5">
        <v>46174</v>
      </c>
      <c r="I8" s="8">
        <v>61952</v>
      </c>
      <c r="J8" s="8">
        <f t="shared" si="1"/>
        <v>55757</v>
      </c>
      <c r="K8" s="8">
        <f t="shared" si="2"/>
        <v>68147</v>
      </c>
      <c r="M8" s="6" t="s">
        <v>20</v>
      </c>
    </row>
    <row r="9" spans="1:14" x14ac:dyDescent="0.45">
      <c r="A9" s="5">
        <v>45658</v>
      </c>
      <c r="B9" s="6" t="s">
        <v>20</v>
      </c>
      <c r="C9" s="6" t="s">
        <v>15</v>
      </c>
      <c r="D9" s="6">
        <v>67</v>
      </c>
      <c r="E9" s="7">
        <v>23.86</v>
      </c>
      <c r="F9" s="7">
        <f t="shared" si="0"/>
        <v>1598.62</v>
      </c>
      <c r="H9" s="5">
        <v>46204</v>
      </c>
      <c r="I9" s="8">
        <v>64671</v>
      </c>
      <c r="J9" s="8">
        <f t="shared" si="1"/>
        <v>58204</v>
      </c>
      <c r="K9" s="8">
        <f t="shared" si="2"/>
        <v>71138</v>
      </c>
    </row>
    <row r="10" spans="1:14" x14ac:dyDescent="0.45">
      <c r="A10" s="5">
        <v>45658</v>
      </c>
      <c r="B10" s="6" t="s">
        <v>20</v>
      </c>
      <c r="C10" s="6" t="s">
        <v>16</v>
      </c>
      <c r="D10" s="6">
        <v>173</v>
      </c>
      <c r="E10" s="7">
        <v>61.99</v>
      </c>
      <c r="F10" s="7">
        <f t="shared" si="0"/>
        <v>10724.27</v>
      </c>
      <c r="H10" s="5">
        <v>46235</v>
      </c>
      <c r="I10" s="8">
        <v>65292</v>
      </c>
      <c r="J10" s="8">
        <f t="shared" si="1"/>
        <v>58763</v>
      </c>
      <c r="K10" s="8">
        <f t="shared" si="2"/>
        <v>71821</v>
      </c>
      <c r="M10" s="1" t="s">
        <v>21</v>
      </c>
    </row>
    <row r="11" spans="1:14" x14ac:dyDescent="0.45">
      <c r="A11" s="5">
        <v>45689</v>
      </c>
      <c r="B11" s="6" t="s">
        <v>14</v>
      </c>
      <c r="C11" s="6" t="s">
        <v>15</v>
      </c>
      <c r="D11" s="6">
        <v>191</v>
      </c>
      <c r="E11" s="7">
        <v>23.81</v>
      </c>
      <c r="F11" s="7">
        <f t="shared" si="0"/>
        <v>4547.71</v>
      </c>
      <c r="H11" s="5">
        <v>46266</v>
      </c>
      <c r="I11" s="8">
        <v>68127</v>
      </c>
      <c r="J11" s="8">
        <f t="shared" si="1"/>
        <v>61314</v>
      </c>
      <c r="K11" s="8">
        <f t="shared" si="2"/>
        <v>74940</v>
      </c>
      <c r="M11" s="1" t="s">
        <v>22</v>
      </c>
    </row>
    <row r="12" spans="1:14" x14ac:dyDescent="0.45">
      <c r="A12" s="5">
        <v>45689</v>
      </c>
      <c r="B12" s="6" t="s">
        <v>14</v>
      </c>
      <c r="C12" s="6" t="s">
        <v>16</v>
      </c>
      <c r="D12" s="6">
        <v>214</v>
      </c>
      <c r="E12" s="7">
        <v>62.66</v>
      </c>
      <c r="F12" s="7">
        <f t="shared" si="0"/>
        <v>13409.24</v>
      </c>
      <c r="H12" s="5">
        <v>46296</v>
      </c>
      <c r="I12" s="8">
        <v>70196</v>
      </c>
      <c r="J12" s="8">
        <f t="shared" si="1"/>
        <v>63176</v>
      </c>
      <c r="K12" s="8">
        <f t="shared" si="2"/>
        <v>77216</v>
      </c>
    </row>
    <row r="13" spans="1:14" x14ac:dyDescent="0.45">
      <c r="A13" s="5">
        <v>45689</v>
      </c>
      <c r="B13" s="6" t="s">
        <v>18</v>
      </c>
      <c r="C13" s="6" t="s">
        <v>15</v>
      </c>
      <c r="D13" s="6">
        <v>155</v>
      </c>
      <c r="E13" s="7">
        <v>23.87</v>
      </c>
      <c r="F13" s="7">
        <f t="shared" si="0"/>
        <v>3699.8500000000004</v>
      </c>
      <c r="H13" s="5">
        <v>46327</v>
      </c>
      <c r="I13" s="8">
        <v>72917</v>
      </c>
      <c r="J13" s="8">
        <f t="shared" si="1"/>
        <v>65625</v>
      </c>
      <c r="K13" s="8">
        <f t="shared" si="2"/>
        <v>80209</v>
      </c>
    </row>
    <row r="14" spans="1:14" x14ac:dyDescent="0.45">
      <c r="A14" s="5">
        <v>45689</v>
      </c>
      <c r="B14" s="6" t="s">
        <v>18</v>
      </c>
      <c r="C14" s="6" t="s">
        <v>16</v>
      </c>
      <c r="D14" s="6">
        <v>198</v>
      </c>
      <c r="E14" s="7">
        <v>59.82</v>
      </c>
      <c r="F14" s="7">
        <f t="shared" si="0"/>
        <v>11844.36</v>
      </c>
      <c r="H14" s="5">
        <v>46357</v>
      </c>
      <c r="I14" s="8">
        <v>75512</v>
      </c>
      <c r="J14" s="8">
        <f t="shared" si="1"/>
        <v>67961</v>
      </c>
      <c r="K14" s="8">
        <f t="shared" si="2"/>
        <v>83063</v>
      </c>
    </row>
    <row r="15" spans="1:14" x14ac:dyDescent="0.45">
      <c r="A15" s="5">
        <v>45689</v>
      </c>
      <c r="B15" s="6" t="s">
        <v>19</v>
      </c>
      <c r="C15" s="6" t="s">
        <v>15</v>
      </c>
      <c r="D15" s="6">
        <v>49</v>
      </c>
      <c r="E15" s="7">
        <v>25.32</v>
      </c>
      <c r="F15" s="7">
        <f t="shared" si="0"/>
        <v>1240.68</v>
      </c>
    </row>
    <row r="16" spans="1:14" x14ac:dyDescent="0.45">
      <c r="A16" s="5">
        <v>45689</v>
      </c>
      <c r="B16" s="6" t="s">
        <v>19</v>
      </c>
      <c r="C16" s="6" t="s">
        <v>16</v>
      </c>
      <c r="D16" s="6">
        <v>88</v>
      </c>
      <c r="E16" s="7">
        <v>62.63</v>
      </c>
      <c r="F16" s="7">
        <f t="shared" si="0"/>
        <v>5511.4400000000005</v>
      </c>
    </row>
    <row r="17" spans="1:6" x14ac:dyDescent="0.45">
      <c r="A17" s="5">
        <v>45689</v>
      </c>
      <c r="B17" s="6" t="s">
        <v>20</v>
      </c>
      <c r="C17" s="6" t="s">
        <v>15</v>
      </c>
      <c r="D17" s="6">
        <v>135</v>
      </c>
      <c r="E17" s="7">
        <v>24.02</v>
      </c>
      <c r="F17" s="7">
        <f t="shared" si="0"/>
        <v>3242.7</v>
      </c>
    </row>
    <row r="18" spans="1:6" x14ac:dyDescent="0.45">
      <c r="A18" s="5">
        <v>45689</v>
      </c>
      <c r="B18" s="6" t="s">
        <v>20</v>
      </c>
      <c r="C18" s="6" t="s">
        <v>16</v>
      </c>
      <c r="D18" s="6">
        <v>103</v>
      </c>
      <c r="E18" s="7">
        <v>64.37</v>
      </c>
      <c r="F18" s="7">
        <f t="shared" si="0"/>
        <v>6630.1100000000006</v>
      </c>
    </row>
    <row r="19" spans="1:6" x14ac:dyDescent="0.45">
      <c r="A19" s="5">
        <v>45717</v>
      </c>
      <c r="B19" s="6" t="s">
        <v>14</v>
      </c>
      <c r="C19" s="6" t="s">
        <v>15</v>
      </c>
      <c r="D19" s="6">
        <v>138</v>
      </c>
      <c r="E19" s="7">
        <v>23.55</v>
      </c>
      <c r="F19" s="7">
        <f t="shared" si="0"/>
        <v>3249.9</v>
      </c>
    </row>
    <row r="20" spans="1:6" x14ac:dyDescent="0.45">
      <c r="A20" s="5">
        <v>45717</v>
      </c>
      <c r="B20" s="6" t="s">
        <v>14</v>
      </c>
      <c r="C20" s="6" t="s">
        <v>16</v>
      </c>
      <c r="D20" s="6">
        <v>149</v>
      </c>
      <c r="E20" s="7">
        <v>58.6</v>
      </c>
      <c r="F20" s="7">
        <f t="shared" si="0"/>
        <v>8731.4</v>
      </c>
    </row>
    <row r="21" spans="1:6" x14ac:dyDescent="0.45">
      <c r="A21" s="5">
        <v>45717</v>
      </c>
      <c r="B21" s="6" t="s">
        <v>18</v>
      </c>
      <c r="C21" s="6" t="s">
        <v>15</v>
      </c>
      <c r="D21" s="6">
        <v>140</v>
      </c>
      <c r="E21" s="7">
        <v>24.9</v>
      </c>
      <c r="F21" s="7">
        <f t="shared" si="0"/>
        <v>3486</v>
      </c>
    </row>
    <row r="22" spans="1:6" x14ac:dyDescent="0.45">
      <c r="A22" s="5">
        <v>45717</v>
      </c>
      <c r="B22" s="6" t="s">
        <v>18</v>
      </c>
      <c r="C22" s="6" t="s">
        <v>16</v>
      </c>
      <c r="D22" s="6">
        <v>63</v>
      </c>
      <c r="E22" s="7">
        <v>62.85</v>
      </c>
      <c r="F22" s="7">
        <f t="shared" si="0"/>
        <v>3959.55</v>
      </c>
    </row>
    <row r="23" spans="1:6" x14ac:dyDescent="0.45">
      <c r="A23" s="5">
        <v>45717</v>
      </c>
      <c r="B23" s="6" t="s">
        <v>19</v>
      </c>
      <c r="C23" s="6" t="s">
        <v>15</v>
      </c>
      <c r="D23" s="6">
        <v>189</v>
      </c>
      <c r="E23" s="7">
        <v>23.61</v>
      </c>
      <c r="F23" s="7">
        <f t="shared" si="0"/>
        <v>4462.29</v>
      </c>
    </row>
    <row r="24" spans="1:6" x14ac:dyDescent="0.45">
      <c r="A24" s="5">
        <v>45717</v>
      </c>
      <c r="B24" s="6" t="s">
        <v>19</v>
      </c>
      <c r="C24" s="6" t="s">
        <v>16</v>
      </c>
      <c r="D24" s="6">
        <v>148</v>
      </c>
      <c r="E24" s="7">
        <v>58.48</v>
      </c>
      <c r="F24" s="7">
        <f t="shared" si="0"/>
        <v>8655.0399999999991</v>
      </c>
    </row>
    <row r="25" spans="1:6" x14ac:dyDescent="0.45">
      <c r="A25" s="5">
        <v>45717</v>
      </c>
      <c r="B25" s="6" t="s">
        <v>20</v>
      </c>
      <c r="C25" s="6" t="s">
        <v>15</v>
      </c>
      <c r="D25" s="6">
        <v>127</v>
      </c>
      <c r="E25" s="7">
        <v>25.51</v>
      </c>
      <c r="F25" s="7">
        <f t="shared" si="0"/>
        <v>3239.77</v>
      </c>
    </row>
    <row r="26" spans="1:6" x14ac:dyDescent="0.45">
      <c r="A26" s="5">
        <v>45717</v>
      </c>
      <c r="B26" s="6" t="s">
        <v>20</v>
      </c>
      <c r="C26" s="6" t="s">
        <v>16</v>
      </c>
      <c r="D26" s="6">
        <v>210</v>
      </c>
      <c r="E26" s="7">
        <v>63.89</v>
      </c>
      <c r="F26" s="7">
        <f t="shared" si="0"/>
        <v>13416.9</v>
      </c>
    </row>
    <row r="27" spans="1:6" x14ac:dyDescent="0.45">
      <c r="A27" s="5">
        <v>45748</v>
      </c>
      <c r="B27" s="6" t="s">
        <v>14</v>
      </c>
      <c r="C27" s="6" t="s">
        <v>15</v>
      </c>
      <c r="D27" s="6">
        <v>148</v>
      </c>
      <c r="E27" s="7">
        <v>24.83</v>
      </c>
      <c r="F27" s="7">
        <f t="shared" si="0"/>
        <v>3674.8399999999997</v>
      </c>
    </row>
    <row r="28" spans="1:6" x14ac:dyDescent="0.45">
      <c r="A28" s="5">
        <v>45748</v>
      </c>
      <c r="B28" s="6" t="s">
        <v>14</v>
      </c>
      <c r="C28" s="6" t="s">
        <v>16</v>
      </c>
      <c r="D28" s="6">
        <v>236</v>
      </c>
      <c r="E28" s="7">
        <v>58.42</v>
      </c>
      <c r="F28" s="7">
        <f t="shared" si="0"/>
        <v>13787.12</v>
      </c>
    </row>
    <row r="29" spans="1:6" x14ac:dyDescent="0.45">
      <c r="A29" s="5">
        <v>45748</v>
      </c>
      <c r="B29" s="6" t="s">
        <v>18</v>
      </c>
      <c r="C29" s="6" t="s">
        <v>15</v>
      </c>
      <c r="D29" s="6">
        <v>225</v>
      </c>
      <c r="E29" s="7">
        <v>23.89</v>
      </c>
      <c r="F29" s="7">
        <f t="shared" si="0"/>
        <v>5375.25</v>
      </c>
    </row>
    <row r="30" spans="1:6" x14ac:dyDescent="0.45">
      <c r="A30" s="5">
        <v>45748</v>
      </c>
      <c r="B30" s="6" t="s">
        <v>18</v>
      </c>
      <c r="C30" s="6" t="s">
        <v>16</v>
      </c>
      <c r="D30" s="6">
        <v>130</v>
      </c>
      <c r="E30" s="7">
        <v>64.56</v>
      </c>
      <c r="F30" s="7">
        <f t="shared" si="0"/>
        <v>8392.8000000000011</v>
      </c>
    </row>
    <row r="31" spans="1:6" x14ac:dyDescent="0.45">
      <c r="A31" s="5">
        <v>45748</v>
      </c>
      <c r="B31" s="6" t="s">
        <v>19</v>
      </c>
      <c r="C31" s="6" t="s">
        <v>15</v>
      </c>
      <c r="D31" s="6">
        <v>115</v>
      </c>
      <c r="E31" s="7">
        <v>25.61</v>
      </c>
      <c r="F31" s="7">
        <f t="shared" si="0"/>
        <v>2945.15</v>
      </c>
    </row>
    <row r="32" spans="1:6" x14ac:dyDescent="0.45">
      <c r="A32" s="5">
        <v>45748</v>
      </c>
      <c r="B32" s="6" t="s">
        <v>19</v>
      </c>
      <c r="C32" s="6" t="s">
        <v>16</v>
      </c>
      <c r="D32" s="6">
        <v>153</v>
      </c>
      <c r="E32" s="7">
        <v>59.82</v>
      </c>
      <c r="F32" s="7">
        <f t="shared" si="0"/>
        <v>9152.4600000000009</v>
      </c>
    </row>
    <row r="33" spans="1:6" x14ac:dyDescent="0.45">
      <c r="A33" s="5">
        <v>45748</v>
      </c>
      <c r="B33" s="6" t="s">
        <v>20</v>
      </c>
      <c r="C33" s="6" t="s">
        <v>15</v>
      </c>
      <c r="D33" s="6">
        <v>218</v>
      </c>
      <c r="E33" s="7">
        <v>25.52</v>
      </c>
      <c r="F33" s="7">
        <f t="shared" si="0"/>
        <v>5563.36</v>
      </c>
    </row>
    <row r="34" spans="1:6" x14ac:dyDescent="0.45">
      <c r="A34" s="5">
        <v>45748</v>
      </c>
      <c r="B34" s="6" t="s">
        <v>20</v>
      </c>
      <c r="C34" s="6" t="s">
        <v>16</v>
      </c>
      <c r="D34" s="6">
        <v>97</v>
      </c>
      <c r="E34" s="7">
        <v>60.43</v>
      </c>
      <c r="F34" s="7">
        <f t="shared" si="0"/>
        <v>5861.71</v>
      </c>
    </row>
    <row r="35" spans="1:6" x14ac:dyDescent="0.45">
      <c r="A35" s="5">
        <v>45778</v>
      </c>
      <c r="B35" s="6" t="s">
        <v>14</v>
      </c>
      <c r="C35" s="6" t="s">
        <v>15</v>
      </c>
      <c r="D35" s="6">
        <v>113</v>
      </c>
      <c r="E35" s="7">
        <v>25.08</v>
      </c>
      <c r="F35" s="7">
        <f t="shared" ref="F35:F66" si="3">D35*E35</f>
        <v>2834.04</v>
      </c>
    </row>
    <row r="36" spans="1:6" x14ac:dyDescent="0.45">
      <c r="A36" s="5">
        <v>45778</v>
      </c>
      <c r="B36" s="6" t="s">
        <v>14</v>
      </c>
      <c r="C36" s="6" t="s">
        <v>16</v>
      </c>
      <c r="D36" s="6">
        <v>239</v>
      </c>
      <c r="E36" s="7">
        <v>64.23</v>
      </c>
      <c r="F36" s="7">
        <f t="shared" si="3"/>
        <v>15350.970000000001</v>
      </c>
    </row>
    <row r="37" spans="1:6" x14ac:dyDescent="0.45">
      <c r="A37" s="5">
        <v>45778</v>
      </c>
      <c r="B37" s="6" t="s">
        <v>18</v>
      </c>
      <c r="C37" s="6" t="s">
        <v>15</v>
      </c>
      <c r="D37" s="6">
        <v>225</v>
      </c>
      <c r="E37" s="7">
        <v>23.47</v>
      </c>
      <c r="F37" s="7">
        <f t="shared" si="3"/>
        <v>5280.75</v>
      </c>
    </row>
    <row r="38" spans="1:6" x14ac:dyDescent="0.45">
      <c r="A38" s="5">
        <v>45778</v>
      </c>
      <c r="B38" s="6" t="s">
        <v>18</v>
      </c>
      <c r="C38" s="6" t="s">
        <v>16</v>
      </c>
      <c r="D38" s="6">
        <v>222</v>
      </c>
      <c r="E38" s="7">
        <v>59.1</v>
      </c>
      <c r="F38" s="7">
        <f t="shared" si="3"/>
        <v>13120.2</v>
      </c>
    </row>
    <row r="39" spans="1:6" x14ac:dyDescent="0.45">
      <c r="A39" s="5">
        <v>45778</v>
      </c>
      <c r="B39" s="6" t="s">
        <v>19</v>
      </c>
      <c r="C39" s="6" t="s">
        <v>15</v>
      </c>
      <c r="D39" s="6">
        <v>122</v>
      </c>
      <c r="E39" s="7">
        <v>23.72</v>
      </c>
      <c r="F39" s="7">
        <f t="shared" si="3"/>
        <v>2893.8399999999997</v>
      </c>
    </row>
    <row r="40" spans="1:6" x14ac:dyDescent="0.45">
      <c r="A40" s="5">
        <v>45778</v>
      </c>
      <c r="B40" s="6" t="s">
        <v>19</v>
      </c>
      <c r="C40" s="6" t="s">
        <v>16</v>
      </c>
      <c r="D40" s="6">
        <v>157</v>
      </c>
      <c r="E40" s="7">
        <v>59.76</v>
      </c>
      <c r="F40" s="7">
        <f t="shared" si="3"/>
        <v>9382.32</v>
      </c>
    </row>
    <row r="41" spans="1:6" x14ac:dyDescent="0.45">
      <c r="A41" s="5">
        <v>45778</v>
      </c>
      <c r="B41" s="6" t="s">
        <v>20</v>
      </c>
      <c r="C41" s="6" t="s">
        <v>15</v>
      </c>
      <c r="D41" s="6">
        <v>223</v>
      </c>
      <c r="E41" s="7">
        <v>25.13</v>
      </c>
      <c r="F41" s="7">
        <f t="shared" si="3"/>
        <v>5603.99</v>
      </c>
    </row>
    <row r="42" spans="1:6" x14ac:dyDescent="0.45">
      <c r="A42" s="5">
        <v>45778</v>
      </c>
      <c r="B42" s="6" t="s">
        <v>20</v>
      </c>
      <c r="C42" s="6" t="s">
        <v>16</v>
      </c>
      <c r="D42" s="6">
        <v>116</v>
      </c>
      <c r="E42" s="7">
        <v>62.54</v>
      </c>
      <c r="F42" s="7">
        <f t="shared" si="3"/>
        <v>7254.64</v>
      </c>
    </row>
    <row r="43" spans="1:6" x14ac:dyDescent="0.45">
      <c r="A43" s="5">
        <v>45809</v>
      </c>
      <c r="B43" s="6" t="s">
        <v>14</v>
      </c>
      <c r="C43" s="6" t="s">
        <v>15</v>
      </c>
      <c r="D43" s="6">
        <v>78</v>
      </c>
      <c r="E43" s="7">
        <v>23.89</v>
      </c>
      <c r="F43" s="7">
        <f t="shared" si="3"/>
        <v>1863.42</v>
      </c>
    </row>
    <row r="44" spans="1:6" x14ac:dyDescent="0.45">
      <c r="A44" s="5">
        <v>45809</v>
      </c>
      <c r="B44" s="6" t="s">
        <v>14</v>
      </c>
      <c r="C44" s="6" t="s">
        <v>16</v>
      </c>
      <c r="D44" s="6">
        <v>72</v>
      </c>
      <c r="E44" s="7">
        <v>63.35</v>
      </c>
      <c r="F44" s="7">
        <f t="shared" si="3"/>
        <v>4561.2</v>
      </c>
    </row>
    <row r="45" spans="1:6" x14ac:dyDescent="0.45">
      <c r="A45" s="5">
        <v>45809</v>
      </c>
      <c r="B45" s="6" t="s">
        <v>18</v>
      </c>
      <c r="C45" s="6" t="s">
        <v>15</v>
      </c>
      <c r="D45" s="6">
        <v>166</v>
      </c>
      <c r="E45" s="7">
        <v>24</v>
      </c>
      <c r="F45" s="7">
        <f t="shared" si="3"/>
        <v>3984</v>
      </c>
    </row>
    <row r="46" spans="1:6" x14ac:dyDescent="0.45">
      <c r="A46" s="5">
        <v>45809</v>
      </c>
      <c r="B46" s="6" t="s">
        <v>18</v>
      </c>
      <c r="C46" s="6" t="s">
        <v>16</v>
      </c>
      <c r="D46" s="6">
        <v>118</v>
      </c>
      <c r="E46" s="7">
        <v>64.08</v>
      </c>
      <c r="F46" s="7">
        <f t="shared" si="3"/>
        <v>7561.44</v>
      </c>
    </row>
    <row r="47" spans="1:6" x14ac:dyDescent="0.45">
      <c r="A47" s="5">
        <v>45809</v>
      </c>
      <c r="B47" s="6" t="s">
        <v>19</v>
      </c>
      <c r="C47" s="6" t="s">
        <v>15</v>
      </c>
      <c r="D47" s="6">
        <v>209</v>
      </c>
      <c r="E47" s="7">
        <v>25.64</v>
      </c>
      <c r="F47" s="7">
        <f t="shared" si="3"/>
        <v>5358.76</v>
      </c>
    </row>
    <row r="48" spans="1:6" x14ac:dyDescent="0.45">
      <c r="A48" s="5">
        <v>45809</v>
      </c>
      <c r="B48" s="6" t="s">
        <v>19</v>
      </c>
      <c r="C48" s="6" t="s">
        <v>16</v>
      </c>
      <c r="D48" s="6">
        <v>144</v>
      </c>
      <c r="E48" s="7">
        <v>59.38</v>
      </c>
      <c r="F48" s="7">
        <f t="shared" si="3"/>
        <v>8550.7200000000012</v>
      </c>
    </row>
    <row r="49" spans="1:6" x14ac:dyDescent="0.45">
      <c r="A49" s="5">
        <v>45809</v>
      </c>
      <c r="B49" s="6" t="s">
        <v>20</v>
      </c>
      <c r="C49" s="6" t="s">
        <v>15</v>
      </c>
      <c r="D49" s="6">
        <v>191</v>
      </c>
      <c r="E49" s="7">
        <v>24.34</v>
      </c>
      <c r="F49" s="7">
        <f t="shared" si="3"/>
        <v>4648.9399999999996</v>
      </c>
    </row>
    <row r="50" spans="1:6" x14ac:dyDescent="0.45">
      <c r="A50" s="5">
        <v>45809</v>
      </c>
      <c r="B50" s="6" t="s">
        <v>20</v>
      </c>
      <c r="C50" s="6" t="s">
        <v>16</v>
      </c>
      <c r="D50" s="6">
        <v>228</v>
      </c>
      <c r="E50" s="7">
        <v>61.03</v>
      </c>
      <c r="F50" s="7">
        <f t="shared" si="3"/>
        <v>13914.84</v>
      </c>
    </row>
    <row r="51" spans="1:6" x14ac:dyDescent="0.45">
      <c r="A51" s="5">
        <v>45839</v>
      </c>
      <c r="B51" s="6" t="s">
        <v>14</v>
      </c>
      <c r="C51" s="6" t="s">
        <v>15</v>
      </c>
      <c r="D51" s="6">
        <v>135</v>
      </c>
      <c r="E51" s="7">
        <v>23.65</v>
      </c>
      <c r="F51" s="7">
        <f t="shared" si="3"/>
        <v>3192.75</v>
      </c>
    </row>
    <row r="52" spans="1:6" x14ac:dyDescent="0.45">
      <c r="A52" s="5">
        <v>45839</v>
      </c>
      <c r="B52" s="6" t="s">
        <v>14</v>
      </c>
      <c r="C52" s="6" t="s">
        <v>16</v>
      </c>
      <c r="D52" s="6">
        <v>211</v>
      </c>
      <c r="E52" s="7">
        <v>61.57</v>
      </c>
      <c r="F52" s="7">
        <f t="shared" si="3"/>
        <v>12991.27</v>
      </c>
    </row>
    <row r="53" spans="1:6" x14ac:dyDescent="0.45">
      <c r="A53" s="5">
        <v>45839</v>
      </c>
      <c r="B53" s="6" t="s">
        <v>18</v>
      </c>
      <c r="C53" s="6" t="s">
        <v>15</v>
      </c>
      <c r="D53" s="6">
        <v>217</v>
      </c>
      <c r="E53" s="7">
        <v>24.43</v>
      </c>
      <c r="F53" s="7">
        <f t="shared" si="3"/>
        <v>5301.3099999999995</v>
      </c>
    </row>
    <row r="54" spans="1:6" x14ac:dyDescent="0.45">
      <c r="A54" s="5">
        <v>45839</v>
      </c>
      <c r="B54" s="6" t="s">
        <v>18</v>
      </c>
      <c r="C54" s="6" t="s">
        <v>16</v>
      </c>
      <c r="D54" s="6">
        <v>217</v>
      </c>
      <c r="E54" s="7">
        <v>60.63</v>
      </c>
      <c r="F54" s="7">
        <f t="shared" si="3"/>
        <v>13156.710000000001</v>
      </c>
    </row>
    <row r="55" spans="1:6" x14ac:dyDescent="0.45">
      <c r="A55" s="5">
        <v>45839</v>
      </c>
      <c r="B55" s="6" t="s">
        <v>19</v>
      </c>
      <c r="C55" s="6" t="s">
        <v>15</v>
      </c>
      <c r="D55" s="6">
        <v>124</v>
      </c>
      <c r="E55" s="7">
        <v>25.96</v>
      </c>
      <c r="F55" s="7">
        <f t="shared" si="3"/>
        <v>3219.04</v>
      </c>
    </row>
    <row r="56" spans="1:6" x14ac:dyDescent="0.45">
      <c r="A56" s="5">
        <v>45839</v>
      </c>
      <c r="B56" s="6" t="s">
        <v>19</v>
      </c>
      <c r="C56" s="6" t="s">
        <v>16</v>
      </c>
      <c r="D56" s="6">
        <v>103</v>
      </c>
      <c r="E56" s="7">
        <v>61.37</v>
      </c>
      <c r="F56" s="7">
        <f t="shared" si="3"/>
        <v>6321.11</v>
      </c>
    </row>
    <row r="57" spans="1:6" x14ac:dyDescent="0.45">
      <c r="A57" s="5">
        <v>45839</v>
      </c>
      <c r="B57" s="6" t="s">
        <v>20</v>
      </c>
      <c r="C57" s="6" t="s">
        <v>15</v>
      </c>
      <c r="D57" s="6">
        <v>91</v>
      </c>
      <c r="E57" s="7">
        <v>25.31</v>
      </c>
      <c r="F57" s="7">
        <f t="shared" si="3"/>
        <v>2303.21</v>
      </c>
    </row>
    <row r="58" spans="1:6" x14ac:dyDescent="0.45">
      <c r="A58" s="5">
        <v>45839</v>
      </c>
      <c r="B58" s="6" t="s">
        <v>20</v>
      </c>
      <c r="C58" s="6" t="s">
        <v>16</v>
      </c>
      <c r="D58" s="6">
        <v>96</v>
      </c>
      <c r="E58" s="7">
        <v>58.98</v>
      </c>
      <c r="F58" s="7">
        <f t="shared" si="3"/>
        <v>5662.08</v>
      </c>
    </row>
    <row r="59" spans="1:6" x14ac:dyDescent="0.45">
      <c r="A59" s="5">
        <v>45870</v>
      </c>
      <c r="B59" s="6" t="s">
        <v>14</v>
      </c>
      <c r="C59" s="6" t="s">
        <v>15</v>
      </c>
      <c r="D59" s="6">
        <v>112</v>
      </c>
      <c r="E59" s="7">
        <v>25.41</v>
      </c>
      <c r="F59" s="7">
        <f t="shared" si="3"/>
        <v>2845.92</v>
      </c>
    </row>
    <row r="60" spans="1:6" x14ac:dyDescent="0.45">
      <c r="A60" s="5">
        <v>45870</v>
      </c>
      <c r="B60" s="6" t="s">
        <v>14</v>
      </c>
      <c r="C60" s="6" t="s">
        <v>16</v>
      </c>
      <c r="D60" s="6">
        <v>180</v>
      </c>
      <c r="E60" s="7">
        <v>61.95</v>
      </c>
      <c r="F60" s="7">
        <f t="shared" si="3"/>
        <v>11151</v>
      </c>
    </row>
    <row r="61" spans="1:6" x14ac:dyDescent="0.45">
      <c r="A61" s="5">
        <v>45870</v>
      </c>
      <c r="B61" s="6" t="s">
        <v>18</v>
      </c>
      <c r="C61" s="6" t="s">
        <v>15</v>
      </c>
      <c r="D61" s="6">
        <v>170</v>
      </c>
      <c r="E61" s="7">
        <v>24.3</v>
      </c>
      <c r="F61" s="7">
        <f t="shared" si="3"/>
        <v>4131</v>
      </c>
    </row>
    <row r="62" spans="1:6" x14ac:dyDescent="0.45">
      <c r="A62" s="5">
        <v>45870</v>
      </c>
      <c r="B62" s="6" t="s">
        <v>18</v>
      </c>
      <c r="C62" s="6" t="s">
        <v>16</v>
      </c>
      <c r="D62" s="6">
        <v>191</v>
      </c>
      <c r="E62" s="7">
        <v>61.5</v>
      </c>
      <c r="F62" s="7">
        <f t="shared" si="3"/>
        <v>11746.5</v>
      </c>
    </row>
    <row r="63" spans="1:6" x14ac:dyDescent="0.45">
      <c r="A63" s="5">
        <v>45870</v>
      </c>
      <c r="B63" s="6" t="s">
        <v>19</v>
      </c>
      <c r="C63" s="6" t="s">
        <v>15</v>
      </c>
      <c r="D63" s="6">
        <v>213</v>
      </c>
      <c r="E63" s="7">
        <v>25.59</v>
      </c>
      <c r="F63" s="7">
        <f t="shared" si="3"/>
        <v>5450.67</v>
      </c>
    </row>
    <row r="64" spans="1:6" x14ac:dyDescent="0.45">
      <c r="A64" s="5">
        <v>45870</v>
      </c>
      <c r="B64" s="6" t="s">
        <v>19</v>
      </c>
      <c r="C64" s="6" t="s">
        <v>16</v>
      </c>
      <c r="D64" s="6">
        <v>74</v>
      </c>
      <c r="E64" s="7">
        <v>62.51</v>
      </c>
      <c r="F64" s="7">
        <f t="shared" si="3"/>
        <v>4625.74</v>
      </c>
    </row>
    <row r="65" spans="1:6" x14ac:dyDescent="0.45">
      <c r="A65" s="5">
        <v>45870</v>
      </c>
      <c r="B65" s="6" t="s">
        <v>20</v>
      </c>
      <c r="C65" s="6" t="s">
        <v>15</v>
      </c>
      <c r="D65" s="6">
        <v>101</v>
      </c>
      <c r="E65" s="7">
        <v>25.11</v>
      </c>
      <c r="F65" s="7">
        <f t="shared" si="3"/>
        <v>2536.11</v>
      </c>
    </row>
    <row r="66" spans="1:6" x14ac:dyDescent="0.45">
      <c r="A66" s="5">
        <v>45870</v>
      </c>
      <c r="B66" s="6" t="s">
        <v>20</v>
      </c>
      <c r="C66" s="6" t="s">
        <v>16</v>
      </c>
      <c r="D66" s="6">
        <v>209</v>
      </c>
      <c r="E66" s="7">
        <v>62.99</v>
      </c>
      <c r="F66" s="7">
        <f t="shared" si="3"/>
        <v>13164.91</v>
      </c>
    </row>
    <row r="67" spans="1:6" x14ac:dyDescent="0.45">
      <c r="A67" s="5">
        <v>45901</v>
      </c>
      <c r="B67" s="6" t="s">
        <v>14</v>
      </c>
      <c r="C67" s="6" t="s">
        <v>15</v>
      </c>
      <c r="D67" s="6">
        <v>240</v>
      </c>
      <c r="E67" s="7">
        <v>24.19</v>
      </c>
      <c r="F67" s="7">
        <f t="shared" ref="F67:F98" si="4">D67*E67</f>
        <v>5805.6</v>
      </c>
    </row>
    <row r="68" spans="1:6" x14ac:dyDescent="0.45">
      <c r="A68" s="5">
        <v>45901</v>
      </c>
      <c r="B68" s="6" t="s">
        <v>14</v>
      </c>
      <c r="C68" s="6" t="s">
        <v>16</v>
      </c>
      <c r="D68" s="6">
        <v>151</v>
      </c>
      <c r="E68" s="7">
        <v>60.87</v>
      </c>
      <c r="F68" s="7">
        <f t="shared" si="4"/>
        <v>9191.369999999999</v>
      </c>
    </row>
    <row r="69" spans="1:6" x14ac:dyDescent="0.45">
      <c r="A69" s="5">
        <v>45901</v>
      </c>
      <c r="B69" s="6" t="s">
        <v>18</v>
      </c>
      <c r="C69" s="6" t="s">
        <v>15</v>
      </c>
      <c r="D69" s="6">
        <v>192</v>
      </c>
      <c r="E69" s="7">
        <v>23.28</v>
      </c>
      <c r="F69" s="7">
        <f t="shared" si="4"/>
        <v>4469.76</v>
      </c>
    </row>
    <row r="70" spans="1:6" x14ac:dyDescent="0.45">
      <c r="A70" s="5">
        <v>45901</v>
      </c>
      <c r="B70" s="6" t="s">
        <v>18</v>
      </c>
      <c r="C70" s="6" t="s">
        <v>16</v>
      </c>
      <c r="D70" s="6">
        <v>143</v>
      </c>
      <c r="E70" s="7">
        <v>64.47</v>
      </c>
      <c r="F70" s="7">
        <f t="shared" si="4"/>
        <v>9219.2099999999991</v>
      </c>
    </row>
    <row r="71" spans="1:6" x14ac:dyDescent="0.45">
      <c r="A71" s="5">
        <v>45901</v>
      </c>
      <c r="B71" s="6" t="s">
        <v>19</v>
      </c>
      <c r="C71" s="6" t="s">
        <v>15</v>
      </c>
      <c r="D71" s="6">
        <v>121</v>
      </c>
      <c r="E71" s="7">
        <v>24.64</v>
      </c>
      <c r="F71" s="7">
        <f t="shared" si="4"/>
        <v>2981.44</v>
      </c>
    </row>
    <row r="72" spans="1:6" x14ac:dyDescent="0.45">
      <c r="A72" s="5">
        <v>45901</v>
      </c>
      <c r="B72" s="6" t="s">
        <v>19</v>
      </c>
      <c r="C72" s="6" t="s">
        <v>16</v>
      </c>
      <c r="D72" s="6">
        <v>103</v>
      </c>
      <c r="E72" s="7">
        <v>63.79</v>
      </c>
      <c r="F72" s="7">
        <f t="shared" si="4"/>
        <v>6570.37</v>
      </c>
    </row>
    <row r="73" spans="1:6" x14ac:dyDescent="0.45">
      <c r="A73" s="5">
        <v>45901</v>
      </c>
      <c r="B73" s="6" t="s">
        <v>20</v>
      </c>
      <c r="C73" s="6" t="s">
        <v>15</v>
      </c>
      <c r="D73" s="6">
        <v>152</v>
      </c>
      <c r="E73" s="7">
        <v>25.54</v>
      </c>
      <c r="F73" s="7">
        <f t="shared" si="4"/>
        <v>3882.08</v>
      </c>
    </row>
    <row r="74" spans="1:6" x14ac:dyDescent="0.45">
      <c r="A74" s="5">
        <v>45901</v>
      </c>
      <c r="B74" s="6" t="s">
        <v>20</v>
      </c>
      <c r="C74" s="6" t="s">
        <v>16</v>
      </c>
      <c r="D74" s="6">
        <v>205</v>
      </c>
      <c r="E74" s="7">
        <v>62.04</v>
      </c>
      <c r="F74" s="7">
        <f t="shared" si="4"/>
        <v>12718.2</v>
      </c>
    </row>
    <row r="75" spans="1:6" x14ac:dyDescent="0.45">
      <c r="A75" s="5">
        <v>45931</v>
      </c>
      <c r="B75" s="6" t="s">
        <v>14</v>
      </c>
      <c r="C75" s="6" t="s">
        <v>15</v>
      </c>
      <c r="D75" s="6">
        <v>119</v>
      </c>
      <c r="E75" s="7">
        <v>24.28</v>
      </c>
      <c r="F75" s="7">
        <f t="shared" si="4"/>
        <v>2889.32</v>
      </c>
    </row>
    <row r="76" spans="1:6" x14ac:dyDescent="0.45">
      <c r="A76" s="5">
        <v>45931</v>
      </c>
      <c r="B76" s="6" t="s">
        <v>14</v>
      </c>
      <c r="C76" s="6" t="s">
        <v>16</v>
      </c>
      <c r="D76" s="6">
        <v>121</v>
      </c>
      <c r="E76" s="7">
        <v>61.57</v>
      </c>
      <c r="F76" s="7">
        <f t="shared" si="4"/>
        <v>7449.97</v>
      </c>
    </row>
    <row r="77" spans="1:6" x14ac:dyDescent="0.45">
      <c r="A77" s="5">
        <v>45931</v>
      </c>
      <c r="B77" s="6" t="s">
        <v>18</v>
      </c>
      <c r="C77" s="6" t="s">
        <v>15</v>
      </c>
      <c r="D77" s="6">
        <v>215</v>
      </c>
      <c r="E77" s="7">
        <v>25.75</v>
      </c>
      <c r="F77" s="7">
        <f t="shared" si="4"/>
        <v>5536.25</v>
      </c>
    </row>
    <row r="78" spans="1:6" x14ac:dyDescent="0.45">
      <c r="A78" s="5">
        <v>45931</v>
      </c>
      <c r="B78" s="6" t="s">
        <v>18</v>
      </c>
      <c r="C78" s="6" t="s">
        <v>16</v>
      </c>
      <c r="D78" s="6">
        <v>233</v>
      </c>
      <c r="E78" s="7">
        <v>60.13</v>
      </c>
      <c r="F78" s="7">
        <f t="shared" si="4"/>
        <v>14010.29</v>
      </c>
    </row>
    <row r="79" spans="1:6" x14ac:dyDescent="0.45">
      <c r="A79" s="5">
        <v>45931</v>
      </c>
      <c r="B79" s="6" t="s">
        <v>19</v>
      </c>
      <c r="C79" s="6" t="s">
        <v>15</v>
      </c>
      <c r="D79" s="6">
        <v>84</v>
      </c>
      <c r="E79" s="7">
        <v>23.58</v>
      </c>
      <c r="F79" s="7">
        <f t="shared" si="4"/>
        <v>1980.7199999999998</v>
      </c>
    </row>
    <row r="80" spans="1:6" x14ac:dyDescent="0.45">
      <c r="A80" s="5">
        <v>45931</v>
      </c>
      <c r="B80" s="6" t="s">
        <v>19</v>
      </c>
      <c r="C80" s="6" t="s">
        <v>16</v>
      </c>
      <c r="D80" s="6">
        <v>172</v>
      </c>
      <c r="E80" s="7">
        <v>63.85</v>
      </c>
      <c r="F80" s="7">
        <f t="shared" si="4"/>
        <v>10982.2</v>
      </c>
    </row>
    <row r="81" spans="1:6" x14ac:dyDescent="0.45">
      <c r="A81" s="5">
        <v>45931</v>
      </c>
      <c r="B81" s="6" t="s">
        <v>20</v>
      </c>
      <c r="C81" s="6" t="s">
        <v>15</v>
      </c>
      <c r="D81" s="6">
        <v>158</v>
      </c>
      <c r="E81" s="7">
        <v>23.92</v>
      </c>
      <c r="F81" s="7">
        <f t="shared" si="4"/>
        <v>3779.36</v>
      </c>
    </row>
    <row r="82" spans="1:6" x14ac:dyDescent="0.45">
      <c r="A82" s="5">
        <v>45931</v>
      </c>
      <c r="B82" s="6" t="s">
        <v>20</v>
      </c>
      <c r="C82" s="6" t="s">
        <v>16</v>
      </c>
      <c r="D82" s="6">
        <v>141</v>
      </c>
      <c r="E82" s="7">
        <v>63.84</v>
      </c>
      <c r="F82" s="7">
        <f t="shared" si="4"/>
        <v>9001.44</v>
      </c>
    </row>
    <row r="83" spans="1:6" x14ac:dyDescent="0.45">
      <c r="A83" s="5">
        <v>45962</v>
      </c>
      <c r="B83" s="6" t="s">
        <v>14</v>
      </c>
      <c r="C83" s="6" t="s">
        <v>15</v>
      </c>
      <c r="D83" s="6">
        <v>104</v>
      </c>
      <c r="E83" s="7">
        <v>23.51</v>
      </c>
      <c r="F83" s="7">
        <f t="shared" si="4"/>
        <v>2445.04</v>
      </c>
    </row>
    <row r="84" spans="1:6" x14ac:dyDescent="0.45">
      <c r="A84" s="5">
        <v>45962</v>
      </c>
      <c r="B84" s="6" t="s">
        <v>14</v>
      </c>
      <c r="C84" s="6" t="s">
        <v>16</v>
      </c>
      <c r="D84" s="6">
        <v>208</v>
      </c>
      <c r="E84" s="7">
        <v>63.43</v>
      </c>
      <c r="F84" s="7">
        <f t="shared" si="4"/>
        <v>13193.44</v>
      </c>
    </row>
    <row r="85" spans="1:6" x14ac:dyDescent="0.45">
      <c r="A85" s="5">
        <v>45962</v>
      </c>
      <c r="B85" s="6" t="s">
        <v>18</v>
      </c>
      <c r="C85" s="6" t="s">
        <v>15</v>
      </c>
      <c r="D85" s="6">
        <v>220</v>
      </c>
      <c r="E85" s="7">
        <v>25.34</v>
      </c>
      <c r="F85" s="7">
        <f t="shared" si="4"/>
        <v>5574.8</v>
      </c>
    </row>
    <row r="86" spans="1:6" x14ac:dyDescent="0.45">
      <c r="A86" s="5">
        <v>45962</v>
      </c>
      <c r="B86" s="6" t="s">
        <v>18</v>
      </c>
      <c r="C86" s="6" t="s">
        <v>16</v>
      </c>
      <c r="D86" s="6">
        <v>116</v>
      </c>
      <c r="E86" s="7">
        <v>62.38</v>
      </c>
      <c r="F86" s="7">
        <f t="shared" si="4"/>
        <v>7236.08</v>
      </c>
    </row>
    <row r="87" spans="1:6" x14ac:dyDescent="0.45">
      <c r="A87" s="5">
        <v>45962</v>
      </c>
      <c r="B87" s="6" t="s">
        <v>19</v>
      </c>
      <c r="C87" s="6" t="s">
        <v>15</v>
      </c>
      <c r="D87" s="6">
        <v>224</v>
      </c>
      <c r="E87" s="7">
        <v>23.72</v>
      </c>
      <c r="F87" s="7">
        <f t="shared" si="4"/>
        <v>5313.28</v>
      </c>
    </row>
    <row r="88" spans="1:6" x14ac:dyDescent="0.45">
      <c r="A88" s="5">
        <v>45962</v>
      </c>
      <c r="B88" s="6" t="s">
        <v>19</v>
      </c>
      <c r="C88" s="6" t="s">
        <v>16</v>
      </c>
      <c r="D88" s="6">
        <v>219</v>
      </c>
      <c r="E88" s="7">
        <v>63.8</v>
      </c>
      <c r="F88" s="7">
        <f t="shared" si="4"/>
        <v>13972.199999999999</v>
      </c>
    </row>
    <row r="89" spans="1:6" x14ac:dyDescent="0.45">
      <c r="A89" s="5">
        <v>45962</v>
      </c>
      <c r="B89" s="6" t="s">
        <v>20</v>
      </c>
      <c r="C89" s="6" t="s">
        <v>15</v>
      </c>
      <c r="D89" s="6">
        <v>192</v>
      </c>
      <c r="E89" s="7">
        <v>25.87</v>
      </c>
      <c r="F89" s="7">
        <f t="shared" si="4"/>
        <v>4967.04</v>
      </c>
    </row>
    <row r="90" spans="1:6" x14ac:dyDescent="0.45">
      <c r="A90" s="5">
        <v>45962</v>
      </c>
      <c r="B90" s="6" t="s">
        <v>20</v>
      </c>
      <c r="C90" s="6" t="s">
        <v>16</v>
      </c>
      <c r="D90" s="6">
        <v>222</v>
      </c>
      <c r="E90" s="7">
        <v>63.02</v>
      </c>
      <c r="F90" s="7">
        <f t="shared" si="4"/>
        <v>13990.44</v>
      </c>
    </row>
    <row r="91" spans="1:6" x14ac:dyDescent="0.45">
      <c r="A91" s="5">
        <v>45992</v>
      </c>
      <c r="B91" s="6" t="s">
        <v>14</v>
      </c>
      <c r="C91" s="6" t="s">
        <v>15</v>
      </c>
      <c r="D91" s="6">
        <v>264</v>
      </c>
      <c r="E91" s="7">
        <v>23.82</v>
      </c>
      <c r="F91" s="7">
        <f t="shared" si="4"/>
        <v>6288.4800000000005</v>
      </c>
    </row>
    <row r="92" spans="1:6" x14ac:dyDescent="0.45">
      <c r="A92" s="5">
        <v>45992</v>
      </c>
      <c r="B92" s="6" t="s">
        <v>14</v>
      </c>
      <c r="C92" s="6" t="s">
        <v>16</v>
      </c>
      <c r="D92" s="6">
        <v>167</v>
      </c>
      <c r="E92" s="7">
        <v>60.63</v>
      </c>
      <c r="F92" s="7">
        <f t="shared" si="4"/>
        <v>10125.210000000001</v>
      </c>
    </row>
    <row r="93" spans="1:6" x14ac:dyDescent="0.45">
      <c r="A93" s="5">
        <v>45992</v>
      </c>
      <c r="B93" s="6" t="s">
        <v>18</v>
      </c>
      <c r="C93" s="6" t="s">
        <v>15</v>
      </c>
      <c r="D93" s="6">
        <v>259</v>
      </c>
      <c r="E93" s="7">
        <v>25.03</v>
      </c>
      <c r="F93" s="7">
        <f t="shared" si="4"/>
        <v>6482.77</v>
      </c>
    </row>
    <row r="94" spans="1:6" x14ac:dyDescent="0.45">
      <c r="A94" s="5">
        <v>45992</v>
      </c>
      <c r="B94" s="6" t="s">
        <v>18</v>
      </c>
      <c r="C94" s="6" t="s">
        <v>16</v>
      </c>
      <c r="D94" s="6">
        <v>200</v>
      </c>
      <c r="E94" s="7">
        <v>63.99</v>
      </c>
      <c r="F94" s="7">
        <f t="shared" si="4"/>
        <v>12798</v>
      </c>
    </row>
    <row r="95" spans="1:6" x14ac:dyDescent="0.45">
      <c r="A95" s="5">
        <v>45992</v>
      </c>
      <c r="B95" s="6" t="s">
        <v>19</v>
      </c>
      <c r="C95" s="6" t="s">
        <v>15</v>
      </c>
      <c r="D95" s="6">
        <v>203</v>
      </c>
      <c r="E95" s="7">
        <v>23.6</v>
      </c>
      <c r="F95" s="7">
        <f t="shared" si="4"/>
        <v>4790.8</v>
      </c>
    </row>
    <row r="96" spans="1:6" x14ac:dyDescent="0.45">
      <c r="A96" s="5">
        <v>45992</v>
      </c>
      <c r="B96" s="6" t="s">
        <v>19</v>
      </c>
      <c r="C96" s="6" t="s">
        <v>16</v>
      </c>
      <c r="D96" s="6">
        <v>145</v>
      </c>
      <c r="E96" s="7">
        <v>58.38</v>
      </c>
      <c r="F96" s="7">
        <f t="shared" si="4"/>
        <v>8465.1</v>
      </c>
    </row>
    <row r="97" spans="1:6" x14ac:dyDescent="0.45">
      <c r="A97" s="5">
        <v>45992</v>
      </c>
      <c r="B97" s="6" t="s">
        <v>20</v>
      </c>
      <c r="C97" s="6" t="s">
        <v>15</v>
      </c>
      <c r="D97" s="6">
        <v>93</v>
      </c>
      <c r="E97" s="7">
        <v>24.86</v>
      </c>
      <c r="F97" s="7">
        <f t="shared" si="4"/>
        <v>2311.98</v>
      </c>
    </row>
    <row r="98" spans="1:6" x14ac:dyDescent="0.45">
      <c r="A98" s="5">
        <v>45992</v>
      </c>
      <c r="B98" s="6" t="s">
        <v>20</v>
      </c>
      <c r="C98" s="6" t="s">
        <v>16</v>
      </c>
      <c r="D98" s="6">
        <v>146</v>
      </c>
      <c r="E98" s="7">
        <v>61.9</v>
      </c>
      <c r="F98" s="7">
        <f t="shared" si="4"/>
        <v>9037.4</v>
      </c>
    </row>
  </sheetData>
  <pageMargins left="0.75" right="0.75" top="1" bottom="1" header="0.511811023622047" footer="0.511811023622047"/>
  <pageSetup paperSize="9" orientation="portrait" horizontalDpi="300" verticalDpi="300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57"/>
  <sheetViews>
    <sheetView tabSelected="1" zoomScaleNormal="100" workbookViewId="0">
      <selection activeCell="B1" sqref="B1"/>
    </sheetView>
  </sheetViews>
  <sheetFormatPr defaultColWidth="8.6640625" defaultRowHeight="14.25" x14ac:dyDescent="0.45"/>
  <cols>
    <col min="1" max="1" width="1.73046875" customWidth="1"/>
    <col min="2" max="2" width="16.33203125" customWidth="1"/>
    <col min="3" max="3" width="9.3984375" bestFit="1" customWidth="1"/>
    <col min="4" max="4" width="78.33203125" style="10" bestFit="1" customWidth="1"/>
  </cols>
  <sheetData>
    <row r="2" spans="2:7" x14ac:dyDescent="0.45">
      <c r="B2" s="9" t="str" cm="1" vm="1">
        <f t="array" ref="B2">_xlfn._xlws.PY(0,1,Sales[#All],Forecast[#All],TaxRate,RegionList)</f>
        <v>Variables loaded</v>
      </c>
    </row>
    <row r="3" spans="2:7" x14ac:dyDescent="0.45">
      <c r="B3" s="9"/>
    </row>
    <row r="4" spans="2:7" ht="42.75" x14ac:dyDescent="0.45">
      <c r="B4" s="9" t="str" cm="1">
        <f t="array" ref="B4">_xlfn._xlws.PY(1,0)</f>
        <v>&lt;class 'pandas.core.frame.DataFrame'&gt;</v>
      </c>
    </row>
    <row r="5" spans="2:7" x14ac:dyDescent="0.45">
      <c r="B5" s="9"/>
    </row>
    <row r="6" spans="2:7" x14ac:dyDescent="0.45">
      <c r="B6" s="9" cm="1">
        <f t="array" ref="B6:B7">_xlfn._xlws.PY(2,0)</f>
        <v>96</v>
      </c>
    </row>
    <row r="7" spans="2:7" x14ac:dyDescent="0.45">
      <c r="B7" s="9">
        <v>6</v>
      </c>
    </row>
    <row r="8" spans="2:7" x14ac:dyDescent="0.45">
      <c r="B8" s="9"/>
    </row>
    <row r="9" spans="2:7" x14ac:dyDescent="0.45">
      <c r="B9" s="9" t="str" cm="1">
        <f t="array" ref="B9:G14">_xlfn._xlws.PY(3,0)</f>
        <v>Date</v>
      </c>
      <c r="C9" t="str">
        <v>Region</v>
      </c>
      <c r="D9" s="10" t="str">
        <v>Product</v>
      </c>
      <c r="E9" t="str">
        <v>Units</v>
      </c>
      <c r="F9" t="str">
        <v>Unit Price</v>
      </c>
      <c r="G9" t="str">
        <v>Revenue</v>
      </c>
    </row>
    <row r="10" spans="2:7" x14ac:dyDescent="0.45">
      <c r="B10" s="9" vm="2">
        <v>45658</v>
      </c>
      <c r="C10" t="str">
        <v>North</v>
      </c>
      <c r="D10" s="10" t="str">
        <v>Widget</v>
      </c>
      <c r="E10">
        <v>207</v>
      </c>
      <c r="F10">
        <v>23.58</v>
      </c>
      <c r="G10">
        <v>4881.0599999999995</v>
      </c>
    </row>
    <row r="11" spans="2:7" x14ac:dyDescent="0.45">
      <c r="B11" s="9" vm="2">
        <v>45658</v>
      </c>
      <c r="C11" t="str">
        <v>North</v>
      </c>
      <c r="D11" s="10" t="str">
        <v>Gadget</v>
      </c>
      <c r="E11">
        <v>114</v>
      </c>
      <c r="F11">
        <v>59.59</v>
      </c>
      <c r="G11">
        <v>6793.26</v>
      </c>
    </row>
    <row r="12" spans="2:7" x14ac:dyDescent="0.45">
      <c r="B12" s="9" vm="2">
        <v>45658</v>
      </c>
      <c r="C12" t="str">
        <v>South</v>
      </c>
      <c r="D12" s="10" t="str">
        <v>Widget</v>
      </c>
      <c r="E12">
        <v>79</v>
      </c>
      <c r="F12">
        <v>25.26</v>
      </c>
      <c r="G12">
        <v>1995.5400000000002</v>
      </c>
    </row>
    <row r="13" spans="2:7" x14ac:dyDescent="0.45">
      <c r="B13" s="9" vm="2">
        <v>45658</v>
      </c>
      <c r="C13" t="str">
        <v>South</v>
      </c>
      <c r="D13" s="10" t="str">
        <v>Gadget</v>
      </c>
      <c r="E13">
        <v>217</v>
      </c>
      <c r="F13">
        <v>62.92</v>
      </c>
      <c r="G13">
        <v>13653.640000000001</v>
      </c>
    </row>
    <row r="14" spans="2:7" x14ac:dyDescent="0.45">
      <c r="B14" s="9" vm="2">
        <v>45658</v>
      </c>
      <c r="C14" t="str">
        <v>East</v>
      </c>
      <c r="D14" s="10" t="str">
        <v>Widget</v>
      </c>
      <c r="E14">
        <v>183</v>
      </c>
      <c r="F14">
        <v>23.51</v>
      </c>
      <c r="G14">
        <v>4302.33</v>
      </c>
    </row>
    <row r="15" spans="2:7" x14ac:dyDescent="0.45">
      <c r="B15" s="9"/>
    </row>
    <row r="16" spans="2:7" x14ac:dyDescent="0.45">
      <c r="B16" s="9" cm="1" vm="3">
        <f t="array" ref="B16">_xlfn._xlws.PY(4,1)</f>
        <v>0</v>
      </c>
    </row>
    <row r="17" spans="2:2" x14ac:dyDescent="0.45">
      <c r="B17" s="9"/>
    </row>
    <row r="18" spans="2:2" x14ac:dyDescent="0.45">
      <c r="B18" s="9" cm="1" vm="3">
        <f t="array" ref="B18">_xlfn._xlws.PY(5,1)</f>
        <v>0</v>
      </c>
    </row>
    <row r="19" spans="2:2" x14ac:dyDescent="0.45">
      <c r="B19" s="9"/>
    </row>
    <row r="20" spans="2:2" x14ac:dyDescent="0.45">
      <c r="B20" s="9" t="str" cm="1">
        <f t="array" ref="B20:B29">_xlfn._xlws.PY(6,0)</f>
        <v>_</v>
      </c>
    </row>
    <row r="21" spans="2:2" x14ac:dyDescent="0.45">
      <c r="B21" s="9" t="str">
        <v>_1</v>
      </c>
    </row>
    <row r="22" spans="2:2" x14ac:dyDescent="0.45">
      <c r="B22" s="9" t="str">
        <v>_InteractiveShell</v>
      </c>
    </row>
    <row r="23" spans="2:2" x14ac:dyDescent="0.45">
      <c r="B23" s="9" t="str">
        <v>__</v>
      </c>
    </row>
    <row r="24" spans="2:2" x14ac:dyDescent="0.45">
      <c r="B24" s="9" t="str">
        <v>___</v>
      </c>
    </row>
    <row r="25" spans="2:2" x14ac:dyDescent="0.45">
      <c r="B25" s="9" t="str">
        <v>__builtin__</v>
      </c>
    </row>
    <row r="26" spans="2:2" x14ac:dyDescent="0.45">
      <c r="B26" s="9" t="str">
        <v>__builtins__</v>
      </c>
    </row>
    <row r="27" spans="2:2" x14ac:dyDescent="0.45">
      <c r="B27" s="9" t="str">
        <v>__doc__</v>
      </c>
    </row>
    <row r="28" spans="2:2" x14ac:dyDescent="0.45">
      <c r="B28" s="9" t="str">
        <v>__loader__</v>
      </c>
    </row>
    <row r="29" spans="2:2" x14ac:dyDescent="0.45">
      <c r="B29" s="9" t="str">
        <v>__name__</v>
      </c>
    </row>
    <row r="30" spans="2:2" x14ac:dyDescent="0.45">
      <c r="B30" s="9"/>
    </row>
    <row r="31" spans="2:2" x14ac:dyDescent="0.45">
      <c r="B31" s="9" t="str" cm="1">
        <f t="array" ref="B31:B42">_xlfn._xlws.PY(7,0)</f>
        <v>excel</v>
      </c>
    </row>
    <row r="32" spans="2:2" x14ac:dyDescent="0.45">
      <c r="B32" s="9" t="str">
        <v>forecast</v>
      </c>
    </row>
    <row r="33" spans="1:4" x14ac:dyDescent="0.45">
      <c r="B33" s="9" t="str">
        <v>np</v>
      </c>
    </row>
    <row r="34" spans="1:4" x14ac:dyDescent="0.45">
      <c r="B34" s="9" t="str">
        <v>pd</v>
      </c>
    </row>
    <row r="35" spans="1:4" x14ac:dyDescent="0.45">
      <c r="A35" s="9"/>
      <c r="B35" s="9" t="str">
        <v>plt</v>
      </c>
    </row>
    <row r="36" spans="1:4" x14ac:dyDescent="0.45">
      <c r="A36" s="9"/>
      <c r="B36" t="str">
        <v>regions</v>
      </c>
    </row>
    <row r="37" spans="1:4" x14ac:dyDescent="0.45">
      <c r="A37" s="9"/>
      <c r="B37" t="str">
        <v>sales</v>
      </c>
    </row>
    <row r="38" spans="1:4" x14ac:dyDescent="0.45">
      <c r="A38" s="9"/>
      <c r="B38" t="str">
        <v>sm</v>
      </c>
    </row>
    <row r="39" spans="1:4" x14ac:dyDescent="0.45">
      <c r="A39" s="9"/>
      <c r="B39" t="str">
        <v>sns</v>
      </c>
    </row>
    <row r="40" spans="1:4" x14ac:dyDescent="0.45">
      <c r="A40" s="9"/>
      <c r="B40" t="str">
        <v>tax_rate</v>
      </c>
    </row>
    <row r="41" spans="1:4" x14ac:dyDescent="0.45">
      <c r="A41" s="9"/>
      <c r="B41" t="str">
        <v>warnings</v>
      </c>
    </row>
    <row r="42" spans="1:4" x14ac:dyDescent="0.45">
      <c r="B42" t="str">
        <v>xl</v>
      </c>
    </row>
    <row r="44" spans="1:4" x14ac:dyDescent="0.45">
      <c r="B44" t="str" cm="1">
        <f t="array" ref="B44:D48">_xlfn._xlws.PY(8,0)</f>
        <v>Variable</v>
      </c>
      <c r="C44" t="str">
        <v>Type</v>
      </c>
      <c r="D44" s="10" t="str">
        <v>Preview</v>
      </c>
    </row>
    <row r="45" spans="1:4" ht="28.5" x14ac:dyDescent="0.45">
      <c r="B45" t="str">
        <v>sales</v>
      </c>
      <c r="C45" t="str">
        <v>DataFrame</v>
      </c>
      <c r="D45" s="10" t="str">
        <v xml:space="preserve">         Date Region Product  Units  Unit Price   Revenue
0  2025-01-01  North  Widget    207       </v>
      </c>
    </row>
    <row r="46" spans="1:4" ht="42.75" x14ac:dyDescent="0.45">
      <c r="B46" t="str">
        <v>forecast</v>
      </c>
      <c r="C46" t="str">
        <v>DataFrame</v>
      </c>
      <c r="D46" s="10" t="str">
        <v xml:space="preserve">        Month  Forecast Revenue    Low   High
0  2026-01-01             51336  46202  56470
1  2026-</v>
      </c>
    </row>
    <row r="47" spans="1:4" x14ac:dyDescent="0.45">
      <c r="B47" t="str">
        <v>tax_rate</v>
      </c>
      <c r="C47" t="str">
        <v>float</v>
      </c>
      <c r="D47" s="10" t="str">
        <v>0.07</v>
      </c>
    </row>
    <row r="48" spans="1:4" x14ac:dyDescent="0.45">
      <c r="B48" t="str">
        <v>regions</v>
      </c>
      <c r="C48" t="str">
        <v>list</v>
      </c>
      <c r="D48" s="10" t="str">
        <v>['North', 'South', 'East', 'West']</v>
      </c>
    </row>
    <row r="51" spans="2:2" x14ac:dyDescent="0.45">
      <c r="B51" t="str" cm="1">
        <f t="array" ref="B51:B57">_xlfn._xlws.PY(9,0)</f>
        <v>np</v>
      </c>
    </row>
    <row r="52" spans="2:2" x14ac:dyDescent="0.45">
      <c r="B52" t="str">
        <v>pd</v>
      </c>
    </row>
    <row r="53" spans="2:2" x14ac:dyDescent="0.45">
      <c r="B53" t="str">
        <v>plt</v>
      </c>
    </row>
    <row r="54" spans="2:2" x14ac:dyDescent="0.45">
      <c r="B54" t="str">
        <v>sns</v>
      </c>
    </row>
    <row r="55" spans="2:2" x14ac:dyDescent="0.45">
      <c r="B55" t="str">
        <v>sm</v>
      </c>
    </row>
    <row r="56" spans="2:2" x14ac:dyDescent="0.45">
      <c r="B56" t="str">
        <v>excel</v>
      </c>
    </row>
    <row r="57" spans="2:2" x14ac:dyDescent="0.45">
      <c r="B57" t="str">
        <v>warnings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</vt:lpstr>
      <vt:lpstr>Tutorial</vt:lpstr>
      <vt:lpstr>RegionList</vt:lpstr>
      <vt:lpstr>TaxRate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George Mount</cp:lastModifiedBy>
  <cp:revision>0</cp:revision>
  <dcterms:created xsi:type="dcterms:W3CDTF">2026-08-15T12:16:47Z</dcterms:created>
  <dcterms:modified xsi:type="dcterms:W3CDTF">2026-08-15T13:40:56Z</dcterms:modified>
  <dc:language>en-US</dc:language>
</cp:coreProperties>
</file>
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blog-files\"/>
    </mc:Choice>
  </mc:AlternateContent>
  <xr:revisionPtr revIDLastSave="0" documentId="13_ncr:1_{EC976357-0454-4755-9AF7-EAEB336E497A}" xr6:coauthVersionLast="47" xr6:coauthVersionMax="47" xr10:uidLastSave="{00000000-0000-0000-0000-000000000000}"/>
  <bookViews>
    <workbookView xWindow="-93" yWindow="-93" windowWidth="16826" windowHeight="11280" activeTab="1" xr2:uid="{8FF3E024-BCDF-426A-AAE8-34C49D3414E0}"/>
  </bookViews>
  <sheets>
    <sheet name="data" sheetId="1" r:id="rId1"/>
    <sheet name="dem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2" l="1" a="1"/>
  <c r="A1" i="2" l="1"/>
  <c r="A3" i="2" a="1"/>
  <c r="A3" i="2" l="1"/>
  <c r="A7" i="2" a="1"/>
  <c r="A7" i="2" l="1"/>
  <c r="A16" i="2" a="1"/>
  <c r="A16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0"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0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1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invoices_df = xl(%P2%, headers=True)
payments_df = xl(%P3%, headers=True)</code>
    </pythonScript>
    <pythonScript>
      <code>unpaid_invoices = invoices_df[
    ~invoices_df["Invoice"].isin(payments_df["Invoice"])
]
unpaid_invoices</code>
    </pythonScript>
    <pythonScript>
      <code>comparison = invoices_df.merge(
    payments_df,
    on="Invoice",
    how="outer",
    indicator=True,
    suffixes=("_invoice", "_payment")
)
comparison</code>
    </pythonScript>
    <pythonScript>
      <code>unmatched = comparison.query('_merge != "both"')
unmatched</code>
    </pythonScript>
  </pythonScripts>
</python>
</file>

<file path=xl/sharedStrings.xml><?xml version="1.0" encoding="utf-8"?>
<sst xmlns="http://schemas.openxmlformats.org/spreadsheetml/2006/main" count="24" uniqueCount="19">
  <si>
    <t>Invoice</t>
  </si>
  <si>
    <t>Vendor</t>
  </si>
  <si>
    <t>Invoice_Date</t>
  </si>
  <si>
    <t>Amount</t>
  </si>
  <si>
    <t>INV-1001</t>
  </si>
  <si>
    <t>Apex Office Supply</t>
  </si>
  <si>
    <t>INV-1002</t>
  </si>
  <si>
    <t>Northstar Logistics</t>
  </si>
  <si>
    <t>INV-1003</t>
  </si>
  <si>
    <t>Summit Software</t>
  </si>
  <si>
    <t>INV-1004</t>
  </si>
  <si>
    <t>Harbor Consulting</t>
  </si>
  <si>
    <t>INV-1005</t>
  </si>
  <si>
    <t>Keystone Equipment</t>
  </si>
  <si>
    <t>INV-1006</t>
  </si>
  <si>
    <t>Metro Utilities</t>
  </si>
  <si>
    <t>Payment_Date</t>
  </si>
  <si>
    <t>Amount_Paid</t>
  </si>
  <si>
    <t>INV-1007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</si>
</sst>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9">
    <dxf>
      <numFmt numFmtId="3" formatCode="#,##0"/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aredStrings" Target="sharedStrings.xml"/><Relationship Id="rId15" Type="http://schemas.microsoft.com/office/2023/09/relationships/Python" Target="python.xml"/><Relationship Id="rId10" Type="http://schemas.microsoft.com/office/2017/06/relationships/richStyles" Target="richData/richStyles.xml"/><Relationship Id="rId4" Type="http://schemas.openxmlformats.org/officeDocument/2006/relationships/styles" Target="styles.xml"/><Relationship Id="rId9" Type="http://schemas.microsoft.com/office/2017/06/relationships/rdArray" Target="richData/rdarray.xml"/><Relationship Id="rId14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6" c="4">
    <v t="s"/>
    <v t="s">Invoice</v>
    <v t="s">Payment_Date</v>
    <v t="s">Amount_Paid</v>
    <v>0</v>
    <v t="s">INV-1001</v>
    <v t="r">0</v>
    <v>1250</v>
    <v>1</v>
    <v t="s">INV-1002</v>
    <v t="r">0</v>
    <v>3400</v>
    <v>2</v>
    <v t="s">INV-1004</v>
    <v t="r">1</v>
    <v>2100</v>
    <v>3</v>
    <v t="s">INV-1006</v>
    <v t="r">2</v>
    <v>620</v>
    <v>4</v>
    <v t="s">INV-1007</v>
    <v t="r">2</v>
    <v>1475</v>
  </a>
</arrayData>
</file>

<file path=xl/richData/rdrichvalue.xml><?xml version="1.0" encoding="utf-8"?>
<rvData xmlns="http://schemas.microsoft.com/office/spreadsheetml/2017/richdata" count="12">
  <rv s="0">
    <fb>46213</fb>
    <v>2</v>
  </rv>
  <rv s="0">
    <fb>46215</fb>
    <v>2</v>
  </rv>
  <rv s="0">
    <fb>46217</fb>
    <v>2</v>
  </rv>
  <rv s="1">
    <v>0</v>
  </rv>
  <rv s="2">
    <v>DataFrame</v>
    <v>1</v>
    <v>3</v>
  </rv>
  <rv s="3">
    <v>&lt;class 'pandas.core.frame.DataFrame'&gt;</v>
    <v>DataFrame</v>
    <v xml:space="preserve">    Invoice Payment_Date  Amount_Paid
0  INV-1001   2026-07-10         1250
1  INV-1002   2026-07-10         3400
2  INV-1004   2026-07-12         2100
3  INV-1006   2026-07-14          620
4  INV-1007   2026-07-14         1475</v>
    <v>4</v>
    <v>3</v>
  </rv>
  <rv s="0">
    <fb>46206</fb>
    <v>2</v>
  </rv>
  <rv s="0">
    <fb>46210</fb>
    <v>2</v>
  </rv>
  <rv s="0">
    <fb>46204</fb>
    <v>2</v>
  </rv>
  <rv s="0">
    <fb>46205</fb>
    <v>2</v>
  </rv>
  <rv s="0">
    <fb>46208</fb>
    <v>2</v>
  </rv>
  <rv s="0">
    <fb>46211</fb>
    <v>2</v>
  </rv>
</rvData>
</file>

<file path=xl/richData/rdrichvaluestructure.xml><?xml version="1.0" encoding="utf-8"?>
<rvStructures xmlns="http://schemas.microsoft.com/office/spreadsheetml/2017/richdata" count="4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4">
    <spb s="0">
      <v>5</v>
      <v>3</v>
      <v>DataFrame</v>
      <v>arrayPreview</v>
      <v>1</v>
    </spb>
    <spb s="1">
      <v>0</v>
    </spb>
    <spb s="2">
      <v>1</v>
    </spb>
    <spb s="3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m/d/yyyy"/>
    </x:dxf>
  </dxfs>
  <richStyles>
    <rSty dxfid="0"/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014C78-6D47-4844-8FFA-EDD623912D86}" name="invoices" displayName="invoices" ref="A1:D7" totalsRowShown="0" headerRowDxfId="8">
  <autoFilter ref="A1:D7" xr:uid="{AA014C78-6D47-4844-8FFA-EDD623912D86}"/>
  <tableColumns count="4">
    <tableColumn id="1" xr3:uid="{BC3024B0-A9C8-4D51-892F-4803AB44E20B}" name="Invoice" dataDxfId="7"/>
    <tableColumn id="2" xr3:uid="{04F4BDD1-5EED-452C-BAA2-CA37876D17E4}" name="Vendor" dataDxfId="6"/>
    <tableColumn id="3" xr3:uid="{5DE38EE7-92AF-4A52-9E14-026367181210}" name="Invoice_Date" dataDxfId="5"/>
    <tableColumn id="4" xr3:uid="{DD4B00F2-EBFF-4B63-B976-1417D98FAA82}" name="Amount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B63AC9-C4B6-40A0-A1B8-6A289FA2E9B6}" name="payments" displayName="payments" ref="F1:H6" totalsRowShown="0" headerRowDxfId="3">
  <autoFilter ref="F1:H6" xr:uid="{D9B63AC9-C4B6-40A0-A1B8-6A289FA2E9B6}"/>
  <tableColumns count="3">
    <tableColumn id="1" xr3:uid="{DB4B351C-EAE2-4875-80C0-78B3BE1AF602}" name="Invoice" dataDxfId="2"/>
    <tableColumn id="2" xr3:uid="{8A2C7CC3-D3C5-4A3C-BBA3-2342181E1624}" name="Payment_Date" dataDxfId="1"/>
    <tableColumn id="3" xr3:uid="{C8D98C83-23F3-48FB-A01A-AC9054EBC8D9}" name="Amount_Pa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A4C3-D60E-413A-9BAE-050D3C0F6C0D}">
  <dimension ref="A1:H7"/>
  <sheetViews>
    <sheetView zoomScale="60" zoomScaleNormal="60" workbookViewId="0"/>
  </sheetViews>
  <sheetFormatPr defaultRowHeight="26.35" x14ac:dyDescent="0.9"/>
  <cols>
    <col min="3" max="3" width="12.33203125" customWidth="1"/>
    <col min="7" max="7" width="13.59765625" customWidth="1"/>
    <col min="8" max="8" width="12.56640625" customWidth="1"/>
  </cols>
  <sheetData>
    <row r="1" spans="1:8" ht="52.7" x14ac:dyDescent="0.9">
      <c r="A1" s="1" t="s">
        <v>0</v>
      </c>
      <c r="B1" s="1" t="s">
        <v>1</v>
      </c>
      <c r="C1" s="1" t="s">
        <v>2</v>
      </c>
      <c r="D1" s="1" t="s">
        <v>3</v>
      </c>
      <c r="F1" s="2" t="s">
        <v>0</v>
      </c>
      <c r="G1" s="2" t="s">
        <v>16</v>
      </c>
      <c r="H1" s="2" t="s">
        <v>17</v>
      </c>
    </row>
    <row r="2" spans="1:8" ht="79" x14ac:dyDescent="0.9">
      <c r="A2" s="2" t="s">
        <v>4</v>
      </c>
      <c r="B2" s="2" t="s">
        <v>5</v>
      </c>
      <c r="C2" s="3">
        <v>46204</v>
      </c>
      <c r="D2" s="4">
        <v>1250</v>
      </c>
      <c r="F2" s="2" t="s">
        <v>4</v>
      </c>
      <c r="G2" s="3">
        <v>46213</v>
      </c>
      <c r="H2" s="4">
        <v>1250</v>
      </c>
    </row>
    <row r="3" spans="1:8" ht="52.7" x14ac:dyDescent="0.9">
      <c r="A3" s="2" t="s">
        <v>6</v>
      </c>
      <c r="B3" s="2" t="s">
        <v>7</v>
      </c>
      <c r="C3" s="3">
        <v>46205</v>
      </c>
      <c r="D3" s="4">
        <v>3400</v>
      </c>
      <c r="F3" s="2" t="s">
        <v>6</v>
      </c>
      <c r="G3" s="3">
        <v>46213</v>
      </c>
      <c r="H3" s="4">
        <v>3400</v>
      </c>
    </row>
    <row r="4" spans="1:8" ht="52.7" x14ac:dyDescent="0.9">
      <c r="A4" s="2" t="s">
        <v>8</v>
      </c>
      <c r="B4" s="2" t="s">
        <v>9</v>
      </c>
      <c r="C4" s="3">
        <v>46206</v>
      </c>
      <c r="D4" s="2">
        <v>895</v>
      </c>
      <c r="F4" s="2" t="s">
        <v>10</v>
      </c>
      <c r="G4" s="3">
        <v>46215</v>
      </c>
      <c r="H4" s="4">
        <v>2100</v>
      </c>
    </row>
    <row r="5" spans="1:8" ht="79" x14ac:dyDescent="0.9">
      <c r="A5" s="2" t="s">
        <v>10</v>
      </c>
      <c r="B5" s="2" t="s">
        <v>11</v>
      </c>
      <c r="C5" s="3">
        <v>46208</v>
      </c>
      <c r="D5" s="4">
        <v>2100</v>
      </c>
      <c r="F5" s="2" t="s">
        <v>14</v>
      </c>
      <c r="G5" s="3">
        <v>46217</v>
      </c>
      <c r="H5" s="2">
        <v>620</v>
      </c>
    </row>
    <row r="6" spans="1:8" ht="79" x14ac:dyDescent="0.9">
      <c r="A6" s="2" t="s">
        <v>12</v>
      </c>
      <c r="B6" s="2" t="s">
        <v>13</v>
      </c>
      <c r="C6" s="3">
        <v>46210</v>
      </c>
      <c r="D6" s="4">
        <v>4750</v>
      </c>
      <c r="F6" s="2" t="s">
        <v>18</v>
      </c>
      <c r="G6" s="3">
        <v>46217</v>
      </c>
      <c r="H6" s="4">
        <v>1475</v>
      </c>
    </row>
    <row r="7" spans="1:8" ht="52.7" x14ac:dyDescent="0.9">
      <c r="A7" s="2" t="s">
        <v>14</v>
      </c>
      <c r="B7" s="2" t="s">
        <v>15</v>
      </c>
      <c r="C7" s="3">
        <v>46211</v>
      </c>
      <c r="D7" s="2">
        <v>620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3AC69-478D-4992-B957-9C8F400999E7}">
  <dimension ref="A1:H19"/>
  <sheetViews>
    <sheetView tabSelected="1" workbookViewId="0"/>
  </sheetViews>
  <sheetFormatPr defaultRowHeight="26.35" x14ac:dyDescent="0.9"/>
  <cols>
    <col min="2" max="3" width="17.06640625" bestFit="1" customWidth="1"/>
    <col min="4" max="4" width="10.96484375" bestFit="1" customWidth="1"/>
    <col min="5" max="5" width="12.265625" bestFit="1" customWidth="1"/>
    <col min="6" max="6" width="11.23046875" bestFit="1" customWidth="1"/>
  </cols>
  <sheetData>
    <row r="1" spans="1:8" x14ac:dyDescent="0.9">
      <c r="A1" t="e" cm="1" vm="1">
        <f t="array" ref="A1">_xlfn._xlws.PY(0,1,invoices[#All],payments[#All])</f>
        <v>#VALUE!</v>
      </c>
    </row>
    <row r="3" spans="1:8" x14ac:dyDescent="0.9">
      <c r="A3" t="str" cm="1">
        <f t="array" ref="A3:E5">_xlfn._xlws.PY(1,0)</f>
        <v/>
      </c>
      <c r="B3" t="str">
        <v>Invoice</v>
      </c>
      <c r="C3" t="str">
        <v>Vendor</v>
      </c>
      <c r="D3" t="str">
        <v>Invoice_Date</v>
      </c>
      <c r="E3" t="str">
        <v>Amount</v>
      </c>
    </row>
    <row r="4" spans="1:8" x14ac:dyDescent="0.9">
      <c r="A4">
        <v>2</v>
      </c>
      <c r="B4" t="str">
        <v>INV-1003</v>
      </c>
      <c r="C4" t="str">
        <v>Summit Software</v>
      </c>
      <c r="D4" vm="2">
        <v>46206</v>
      </c>
      <c r="E4">
        <v>895</v>
      </c>
    </row>
    <row r="5" spans="1:8" x14ac:dyDescent="0.9">
      <c r="A5">
        <v>4</v>
      </c>
      <c r="B5" t="str">
        <v>INV-1005</v>
      </c>
      <c r="C5" t="str">
        <v>Keystone Equipment</v>
      </c>
      <c r="D5" vm="3">
        <v>46210</v>
      </c>
      <c r="E5">
        <v>4750</v>
      </c>
    </row>
    <row r="7" spans="1:8" x14ac:dyDescent="0.9">
      <c r="A7" t="str" cm="1">
        <f t="array" ref="A7:G14">_xlfn._xlws.PY(2,0)</f>
        <v>Invoice</v>
      </c>
      <c r="B7" t="str">
        <v>Vendor</v>
      </c>
      <c r="C7" t="str">
        <v>Invoice_Date</v>
      </c>
      <c r="D7" t="str">
        <v>Amount</v>
      </c>
      <c r="E7" t="str">
        <v>Payment_Date</v>
      </c>
      <c r="F7" t="str">
        <v>Amount_Paid</v>
      </c>
      <c r="G7" t="str">
        <v>_merge</v>
      </c>
    </row>
    <row r="8" spans="1:8" x14ac:dyDescent="0.9">
      <c r="A8" t="str">
        <v>INV-1001</v>
      </c>
      <c r="B8" t="str">
        <v>Apex Office Supply</v>
      </c>
      <c r="C8" vm="4">
        <v>46204</v>
      </c>
      <c r="D8">
        <v>1250</v>
      </c>
      <c r="E8" vm="5">
        <v>46213</v>
      </c>
      <c r="F8">
        <v>1250</v>
      </c>
      <c r="G8" t="str">
        <v>both</v>
      </c>
    </row>
    <row r="9" spans="1:8" x14ac:dyDescent="0.9">
      <c r="A9" t="str">
        <v>INV-1002</v>
      </c>
      <c r="B9" t="str">
        <v>Northstar Logistics</v>
      </c>
      <c r="C9" vm="6">
        <v>46205</v>
      </c>
      <c r="D9">
        <v>3400</v>
      </c>
      <c r="E9" vm="5">
        <v>46213</v>
      </c>
      <c r="F9">
        <v>3400</v>
      </c>
      <c r="G9" t="str">
        <v>both</v>
      </c>
    </row>
    <row r="10" spans="1:8" x14ac:dyDescent="0.9">
      <c r="A10" t="str">
        <v>INV-1003</v>
      </c>
      <c r="B10" t="str">
        <v>Summit Software</v>
      </c>
      <c r="C10" vm="2">
        <v>46206</v>
      </c>
      <c r="D10">
        <v>895</v>
      </c>
      <c r="E10" t="e">
        <v>#NUM!</v>
      </c>
      <c r="F10" t="e">
        <v>#NUM!</v>
      </c>
      <c r="G10" t="str">
        <v>left_only</v>
      </c>
    </row>
    <row r="11" spans="1:8" x14ac:dyDescent="0.9">
      <c r="A11" t="str">
        <v>INV-1004</v>
      </c>
      <c r="B11" t="str">
        <v>Harbor Consulting</v>
      </c>
      <c r="C11" vm="7">
        <v>46208</v>
      </c>
      <c r="D11">
        <v>2100</v>
      </c>
      <c r="E11" vm="8">
        <v>46215</v>
      </c>
      <c r="F11">
        <v>2100</v>
      </c>
      <c r="G11" t="str">
        <v>both</v>
      </c>
    </row>
    <row r="12" spans="1:8" x14ac:dyDescent="0.9">
      <c r="A12" t="str">
        <v>INV-1005</v>
      </c>
      <c r="B12" t="str">
        <v>Keystone Equipment</v>
      </c>
      <c r="C12" vm="3">
        <v>46210</v>
      </c>
      <c r="D12">
        <v>4750</v>
      </c>
      <c r="E12" t="e">
        <v>#NUM!</v>
      </c>
      <c r="F12" t="e">
        <v>#NUM!</v>
      </c>
      <c r="G12" t="str">
        <v>left_only</v>
      </c>
    </row>
    <row r="13" spans="1:8" x14ac:dyDescent="0.9">
      <c r="A13" t="str">
        <v>INV-1006</v>
      </c>
      <c r="B13" t="str">
        <v>Metro Utilities</v>
      </c>
      <c r="C13" vm="9">
        <v>46211</v>
      </c>
      <c r="D13">
        <v>620</v>
      </c>
      <c r="E13" vm="10">
        <v>46217</v>
      </c>
      <c r="F13">
        <v>620</v>
      </c>
      <c r="G13" t="str">
        <v>both</v>
      </c>
    </row>
    <row r="14" spans="1:8" x14ac:dyDescent="0.9">
      <c r="A14" t="str">
        <v>INV-1007</v>
      </c>
      <c r="B14" t="e">
        <v>#NUM!</v>
      </c>
      <c r="C14" t="e">
        <v>#NUM!</v>
      </c>
      <c r="D14" t="e">
        <v>#NUM!</v>
      </c>
      <c r="E14" vm="10">
        <v>46217</v>
      </c>
      <c r="F14">
        <v>1475</v>
      </c>
      <c r="G14" t="str">
        <v>right_only</v>
      </c>
    </row>
    <row r="16" spans="1:8" x14ac:dyDescent="0.9">
      <c r="A16" t="str" cm="1">
        <f t="array" ref="A16:H19">_xlfn._xlws.PY(3,0)</f>
        <v/>
      </c>
      <c r="B16" t="str">
        <v>Invoice</v>
      </c>
      <c r="C16" t="str">
        <v>Vendor</v>
      </c>
      <c r="D16" t="str">
        <v>Invoice_Date</v>
      </c>
      <c r="E16" t="str">
        <v>Amount</v>
      </c>
      <c r="F16" t="str">
        <v>Payment_Date</v>
      </c>
      <c r="G16" t="str">
        <v>Amount_Paid</v>
      </c>
      <c r="H16" t="str">
        <v>_merge</v>
      </c>
    </row>
    <row r="17" spans="1:8" x14ac:dyDescent="0.9">
      <c r="A17">
        <v>2</v>
      </c>
      <c r="B17" t="str">
        <v>INV-1003</v>
      </c>
      <c r="C17" t="str">
        <v>Summit Software</v>
      </c>
      <c r="D17" vm="2">
        <v>46206</v>
      </c>
      <c r="E17">
        <v>895</v>
      </c>
      <c r="F17" t="e">
        <v>#NUM!</v>
      </c>
      <c r="G17" t="e">
        <v>#NUM!</v>
      </c>
      <c r="H17" t="str">
        <v>left_only</v>
      </c>
    </row>
    <row r="18" spans="1:8" x14ac:dyDescent="0.9">
      <c r="A18">
        <v>4</v>
      </c>
      <c r="B18" t="str">
        <v>INV-1005</v>
      </c>
      <c r="C18" t="str">
        <v>Keystone Equipment</v>
      </c>
      <c r="D18" vm="3">
        <v>46210</v>
      </c>
      <c r="E18">
        <v>4750</v>
      </c>
      <c r="F18" t="e">
        <v>#NUM!</v>
      </c>
      <c r="G18" t="e">
        <v>#NUM!</v>
      </c>
      <c r="H18" t="str">
        <v>left_only</v>
      </c>
    </row>
    <row r="19" spans="1:8" x14ac:dyDescent="0.9">
      <c r="A19">
        <v>6</v>
      </c>
      <c r="B19" t="str">
        <v>INV-1007</v>
      </c>
      <c r="C19" t="e">
        <v>#NUM!</v>
      </c>
      <c r="D19" t="e">
        <v>#NUM!</v>
      </c>
      <c r="E19" t="e">
        <v>#NUM!</v>
      </c>
      <c r="F19" vm="10">
        <v>46217</v>
      </c>
      <c r="G19">
        <v>1475</v>
      </c>
      <c r="H19" t="str">
        <v>right_only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2026-07-17T13:38:44Z</dcterms:created>
  <dcterms:modified xsi:type="dcterms:W3CDTF">2026-07-17T13:49:59Z</dcterms:modified>
</cp:coreProperties>
</file>
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0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rg\Documents\GitHub\blog-files\"/>
    </mc:Choice>
  </mc:AlternateContent>
  <xr:revisionPtr revIDLastSave="0" documentId="8_{A6109040-C670-41B7-950A-ED732B5C3D32}" xr6:coauthVersionLast="47" xr6:coauthVersionMax="47" xr10:uidLastSave="{00000000-0000-0000-0000-000000000000}"/>
  <bookViews>
    <workbookView xWindow="-93" yWindow="-93" windowWidth="16826" windowHeight="11280" activeTab="1" xr2:uid="{A0205069-D40E-4CB7-985D-27AC1A513836}"/>
  </bookViews>
  <sheets>
    <sheet name="Sheet1" sheetId="1" r:id="rId1"/>
    <sheet name="Analysis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8" i="2" l="1" a="1"/>
  <c r="A28" i="2" s="1"/>
  <c r="A25" i="2" a="1"/>
  <c r="A25" i="2" s="1"/>
  <c r="A18" i="2" a="1"/>
  <c r="A18" i="2" s="1"/>
  <c r="A15" i="2" a="1"/>
  <c r="A15" i="2" s="1"/>
  <c r="A9" i="2" a="1"/>
  <c r="A9" i="2" s="1"/>
  <c r="A6" i="2" a="1"/>
  <c r="A6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">
    <bk>
      <extLst>
        <ext uri="{3e2802c4-a4d2-4d8b-9148-e3be6c30e623}">
          <xlrd:rvb i="2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8"/>
        </ext>
      </extLst>
    </bk>
  </futureMetadata>
  <cellMetadata count="1">
    <bk>
      <rc t="1" v="0"/>
    </bk>
  </cellMetadata>
  <valueMetadata count="3">
    <bk>
      <rc t="2" v="0"/>
    </bk>
    <bk>
      <rc t="2" v="1"/>
    </bk>
    <bk>
      <rc t="2" v="2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#Optimal production quantities for products A and B
import pandas as pd
from scipy.optimize import linprog
# Coefficients for the objective function (negative for maximization)
c = [-40, -30]
# Coefficients for the inequality constraints
A = [
    [2, 4],   # Labor constraint
    [3, 2]    # Material constraint
]
b = [100, 90]
# Bounds for A and B (non-negative)
bounds = [(0, None), (0, None)]
# Solve the linear program
result = linprog(c, A_ub=A, b_ub=b, bounds=bounds, method='highs')
# Extract optimal values for A and B, and the maximum profit
optimal_A, optimal_B = result.x
max_profit = -result.fun
# Prepare results as a DataFrame for easy viewing
solution_df = pd.DataFrame({
    'Product': ['A', 'B'],
    'Optimal Units': [optimal_A, optimal_B]
})
solution_df['Optimal Units'] = solution_df['Optimal Units'].round(2)
solution_df</code>
    </pythonScript>
    <pythonScript>
      <code>#Optimal production plan for products A, B, and C
from scipy.optimize import linprog
import pandas as pd
# Objective function coefficients (negative for maximization)
c = [-25, -40, -35]
# Inequality constraints (labor and material)
A_ub = [
    [1, 3, 2],   # Labor
    [4, 3, 5]    # Material
]
b_ub = [160, 200]
# Bounds for A, B, C
bounds = [(10, None), (0, None), (0, 40)]
# Solve the linear program
result = linprog(c, A_ub=A_ub, b_ub=b_ub, bounds=bounds, method='highs')
# Extract optimal values for A, B, C
optimal_A, optimal_B, optimal_C = result.x
max_profit = -result.fun
# Prepare results as a DataFrame
solution_df = pd.DataFrame({
    'Product': ['A', 'B', 'C'],
    'Optimal Units': [optimal_A, optimal_B, optimal_C]
})
solution_df['Optimal Units'] = solution_df['Optimal Units'].round(2)
solution_df</code>
    </pythonScript>
    <pythonScript>
      <code>#Optimal shipping plan for warehouses to stores
# Transportation problem: minimize shipping cost from warehouses to stores
from scipy.optimize import linprog
import pandas as pd
# Decision variables: x11, x12, x13, x21, x22, x23
# Cost coefficients (order: W1-&gt;S1, W1-&gt;S2, W1-&gt;S3, W2-&gt;S1, W2-&gt;S2, W2-&gt;S3)
c = [4, 6, 8, 5, 4, 7]
# Inequality constraints (warehouse capacities)
A_ub = [
    [1, 1, 1, 0, 0, 0],  # W1 total shipped
    [0, 0, 0, 1, 1, 1]   # W2 total shipped
]
b_ub = [120, 150]
# Equality constraints (store demands)
A_eq = [
    [1, 0, 0, 1, 0, 0],  # S1 demand
    [0, 1, 0, 0, 1, 0],  # S2 demand
    [0, 0, 1, 0, 0, 1]   # S3 demand
]
b_eq = [80, 100, 70]
# Bounds for all variables (non-negative)
bounds = [(0, None)] * 6
# Solve the linear program
result = linprog(c, A_ub=A_ub, b_ub=b_ub, A_eq=A_eq, b_eq=b_eq, bounds=bounds, method='highs')
# Extract solution
x = result.x.round(2)
labels = ['W1→S1', 'W1→S2', 'W1→S3', 'W2→S1', 'W2→S2', 'W2→S3']
solution_df = pd.DataFrame({'Route': labels, 'Units Shipped': x})
solution_df</code>
    </pythonScript>
  </pythonScripts>
</python>
</file>

<file path=xl/sharedStrings.xml><?xml version="1.0" encoding="utf-8"?>
<sst xmlns="http://schemas.openxmlformats.org/spreadsheetml/2006/main" count="8" uniqueCount="6">
  <si>
    <t>Analysis Sheet</t>
  </si>
  <si>
    <t>This sheet will include all the Python formulas generated by Copilot.</t>
  </si>
  <si>
    <t>Optimal production quantities for products A and B</t>
  </si>
  <si>
    <t>Preview</t>
  </si>
  <si>
    <t>Optimal production plan for products A, B, and C</t>
  </si>
  <si>
    <t>Optimal shipping plan for warehouses to stores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</si>
</sst>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8"/>
      <color theme="1"/>
      <name val="Aptos Narrow"/>
      <family val="2"/>
      <scheme val="minor"/>
    </font>
    <font>
      <b/>
      <sz val="24"/>
      <color rgb="FF156082"/>
      <name val="Aptos Narrow"/>
      <family val="2"/>
      <scheme val="minor"/>
    </font>
    <font>
      <b/>
      <sz val="14"/>
      <color rgb="FF156082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dSupportingPropertyBag" Target="richData/rdsupportingpropertybag.xml"/><Relationship Id="rId5" Type="http://schemas.openxmlformats.org/officeDocument/2006/relationships/sharedStrings" Target="sharedStrings.xml"/><Relationship Id="rId10" Type="http://schemas.microsoft.com/office/2017/06/relationships/rdSupportingPropertyBagStructure" Target="richData/rdsupportingpropertybagstructure.xml"/><Relationship Id="rId4" Type="http://schemas.openxmlformats.org/officeDocument/2006/relationships/styles" Target="styles.xml"/><Relationship Id="rId9" Type="http://schemas.microsoft.com/office/2017/06/relationships/rdArray" Target="richData/rdarray.xml"/><Relationship Id="rId14" Type="http://schemas.microsoft.com/office/2023/09/relationships/Python" Target="pytho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3">
  <a r="3" c="3">
    <v t="s"/>
    <v t="s">Product</v>
    <v t="s">Optimal Units</v>
    <v>0</v>
    <v t="s">A</v>
    <v>20</v>
    <v>1</v>
    <v t="s">B</v>
    <v>15</v>
  </a>
  <a r="4" c="3">
    <v t="s"/>
    <v t="s">Product</v>
    <v t="s">Optimal Units</v>
    <v>0</v>
    <v t="s">A</v>
    <v>13.33</v>
    <v>1</v>
    <v t="s">B</v>
    <v>48.89</v>
    <v>2</v>
    <v t="s">C</v>
    <v>0</v>
  </a>
  <a r="7" c="3">
    <v t="s"/>
    <v t="s">Route</v>
    <v t="s">Units Shipped</v>
    <v>0</v>
    <v t="s">W1→S1</v>
    <v>80</v>
    <v>1</v>
    <v t="s">W1→S2</v>
    <v>0</v>
    <v>2</v>
    <v t="s">W1→S3</v>
    <v>20</v>
    <v>3</v>
    <v t="s">W2→S1</v>
    <v>0</v>
    <v>4</v>
    <v t="s">W2→S2</v>
    <v>100</v>
    <v>5</v>
    <v t="s">W2→S3</v>
    <v>50</v>
  </a>
</arrayData>
</file>

<file path=xl/richData/rdrichvalue.xml><?xml version="1.0" encoding="utf-8"?>
<rvData xmlns="http://schemas.microsoft.com/office/spreadsheetml/2017/richdata" count="9">
  <rv s="0">
    <v>0</v>
  </rv>
  <rv s="1">
    <v>DataFrame</v>
    <v>1</v>
    <v>0</v>
  </rv>
  <rv s="2">
    <v>&lt;class 'pandas.core.frame.DataFrame'&gt;</v>
    <v>DataFrame</v>
    <v xml:space="preserve">  Product  Optimal Units
0       A           20.0
1       B           15.0</v>
    <v>1</v>
    <v>2</v>
  </rv>
  <rv s="0">
    <v>1</v>
  </rv>
  <rv s="1">
    <v>DataFrame</v>
    <v>4</v>
    <v>3</v>
  </rv>
  <rv s="2">
    <v>&lt;class 'pandas.core.frame.DataFrame'&gt;</v>
    <v>DataFrame</v>
    <v xml:space="preserve">  Product  Optimal Units
0       A          13.33
1       B          48.89
2       C           0.00</v>
    <v>4</v>
    <v>2</v>
  </rv>
  <rv s="0">
    <v>2</v>
  </rv>
  <rv s="1">
    <v>DataFrame</v>
    <v>6</v>
    <v>6</v>
  </rv>
  <rv s="2">
    <v>&lt;class 'pandas.core.frame.DataFrame'&gt;</v>
    <v>DataFrame</v>
    <v xml:space="preserve">   Route  Units Shipped
0  W1→S1           80.0
1  W1→S2            0.0
2  W1→S3           20.0
3  W2→S1            0.0
4  W2→S2          100.0
5  W2→S3           50.0</v>
    <v>7</v>
    <v>2</v>
  </rv>
</rvData>
</file>

<file path=xl/richData/rdrichvaluestructure.xml><?xml version="1.0" encoding="utf-8"?>
<rvStructures xmlns="http://schemas.microsoft.com/office/spreadsheetml/2017/richdata" count="3"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</rvStructures>
</file>

<file path=xl/richData/rdsupportingpropertybag.xml><?xml version="1.0" encoding="utf-8"?>
<supportingPropertyBags xmlns="http://schemas.microsoft.com/office/spreadsheetml/2017/richdata2">
  <spbData count="7">
    <spb s="0">
      <v>2</v>
      <v>2</v>
      <v>DataFrame</v>
      <v>arrayPreview</v>
      <v>1</v>
    </spb>
    <spb s="1">
      <v>0</v>
    </spb>
    <spb s="2">
      <v>https://www.anaconda.com/excel</v>
      <v>https://res.cdn.office.net/officepysvc/prod-preview/anacondalogo.png</v>
      <v>Python provided by Anaconda</v>
    </spb>
    <spb s="0">
      <v>3</v>
      <v>2</v>
      <v>DataFrame</v>
      <v>arrayPreview</v>
      <v>1</v>
    </spb>
    <spb s="1">
      <v>3</v>
    </spb>
    <spb s="0">
      <v>6</v>
      <v>2</v>
      <v>DataFrame</v>
      <v>arrayPreview</v>
      <v>1</v>
    </spb>
    <spb s="1">
      <v>5</v>
    </spb>
  </spbData>
</supportingPropertyBags>
</file>

<file path=xl/richData/rdsupportingpropertybagstructure.xml><?xml version="1.0" encoding="utf-8"?>
<spbStructures xmlns="http://schemas.microsoft.com/office/spreadsheetml/2017/richdata2" count="3">
  <s>
    <k n="drw" t="i"/>
    <k n="dcol" t="i"/>
    <k n="name" t="s"/>
    <k n="array" t="s"/>
    <k n="headers" t="b"/>
  </s>
  <s>
    <k n="ArrayCardInfo" t="spb"/>
  </s>
  <s>
    <k n="link" t="s"/>
    <k n="logo" t="s"/>
    <k n="name" t="s"/>
  </s>
</spb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8897A-9558-4456-BC26-43CFA36DEC73}">
  <dimension ref="A1"/>
  <sheetViews>
    <sheetView workbookViewId="0"/>
  </sheetViews>
  <sheetFormatPr defaultRowHeight="24" x14ac:dyDescent="0.8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45EAB-F08F-48C6-8A6E-9A02B69FAC14}">
  <dimension ref="A1:C34"/>
  <sheetViews>
    <sheetView tabSelected="1" workbookViewId="0">
      <selection activeCell="A6" sqref="A6"/>
    </sheetView>
  </sheetViews>
  <sheetFormatPr defaultRowHeight="24" x14ac:dyDescent="0.85"/>
  <sheetData>
    <row r="1" spans="1:3" ht="31.7" x14ac:dyDescent="1.1000000000000001">
      <c r="A1" s="1" t="s">
        <v>0</v>
      </c>
    </row>
    <row r="2" spans="1:3" x14ac:dyDescent="0.85">
      <c r="A2" t="s">
        <v>1</v>
      </c>
    </row>
    <row r="5" spans="1:3" x14ac:dyDescent="0.85">
      <c r="A5" s="2" t="s">
        <v>2</v>
      </c>
    </row>
    <row r="6" spans="1:3" x14ac:dyDescent="0.85">
      <c r="A6" t="e" cm="1" vm="1">
        <f t="array" ref="A6">_xlfn._xlws.PY(0,1)</f>
        <v>#VALUE!</v>
      </c>
    </row>
    <row r="8" spans="1:3" x14ac:dyDescent="0.85">
      <c r="A8" s="3" t="s">
        <v>3</v>
      </c>
    </row>
    <row r="9" spans="1:3" x14ac:dyDescent="0.85">
      <c r="A9" t="str" cm="1">
        <f t="array" ref="A9:C11">IFERROR(_FV(A6,"arrayPreview"),_xlfn._DF_Python_str(A6))</f>
        <v/>
      </c>
      <c r="B9" t="str">
        <v>Product</v>
      </c>
      <c r="C9" t="str">
        <v>Optimal Units</v>
      </c>
    </row>
    <row r="10" spans="1:3" x14ac:dyDescent="0.85">
      <c r="A10">
        <v>0</v>
      </c>
      <c r="B10" t="str">
        <v>A</v>
      </c>
      <c r="C10">
        <v>20</v>
      </c>
    </row>
    <row r="11" spans="1:3" x14ac:dyDescent="0.85">
      <c r="A11">
        <v>1</v>
      </c>
      <c r="B11" t="str">
        <v>B</v>
      </c>
      <c r="C11">
        <v>15</v>
      </c>
    </row>
    <row r="14" spans="1:3" x14ac:dyDescent="0.85">
      <c r="A14" s="2" t="s">
        <v>4</v>
      </c>
    </row>
    <row r="15" spans="1:3" x14ac:dyDescent="0.85">
      <c r="A15" t="e" cm="1" vm="2">
        <f t="array" ref="A15">_xlfn._xlws.PY(1,1)</f>
        <v>#VALUE!</v>
      </c>
    </row>
    <row r="17" spans="1:3" x14ac:dyDescent="0.85">
      <c r="A17" s="3" t="s">
        <v>3</v>
      </c>
    </row>
    <row r="18" spans="1:3" x14ac:dyDescent="0.85">
      <c r="A18" t="str" cm="1">
        <f t="array" ref="A18:C21">IFERROR(_FV(A15,"arrayPreview"),_xlfn._DF_Python_str(A15))</f>
        <v/>
      </c>
      <c r="B18" t="str">
        <v>Product</v>
      </c>
      <c r="C18" t="str">
        <v>Optimal Units</v>
      </c>
    </row>
    <row r="19" spans="1:3" x14ac:dyDescent="0.85">
      <c r="A19">
        <v>0</v>
      </c>
      <c r="B19" t="str">
        <v>A</v>
      </c>
      <c r="C19">
        <v>13.33</v>
      </c>
    </row>
    <row r="20" spans="1:3" x14ac:dyDescent="0.85">
      <c r="A20">
        <v>1</v>
      </c>
      <c r="B20" t="str">
        <v>B</v>
      </c>
      <c r="C20">
        <v>48.89</v>
      </c>
    </row>
    <row r="21" spans="1:3" x14ac:dyDescent="0.85">
      <c r="A21">
        <v>2</v>
      </c>
      <c r="B21" t="str">
        <v>C</v>
      </c>
      <c r="C21">
        <v>0</v>
      </c>
    </row>
    <row r="24" spans="1:3" x14ac:dyDescent="0.85">
      <c r="A24" s="2" t="s">
        <v>5</v>
      </c>
    </row>
    <row r="25" spans="1:3" x14ac:dyDescent="0.85">
      <c r="A25" t="e" cm="1" vm="3">
        <f t="array" ref="A25">_xlfn._xlws.PY(2,1)</f>
        <v>#VALUE!</v>
      </c>
    </row>
    <row r="27" spans="1:3" x14ac:dyDescent="0.85">
      <c r="A27" s="3" t="s">
        <v>3</v>
      </c>
    </row>
    <row r="28" spans="1:3" x14ac:dyDescent="0.85">
      <c r="A28" t="str" cm="1">
        <f t="array" ref="A28:C34">IFERROR(_FV(A25,"arrayPreview"),_xlfn._DF_Python_str(A25))</f>
        <v/>
      </c>
      <c r="B28" t="str">
        <v>Route</v>
      </c>
      <c r="C28" t="str">
        <v>Units Shipped</v>
      </c>
    </row>
    <row r="29" spans="1:3" x14ac:dyDescent="0.85">
      <c r="A29">
        <v>0</v>
      </c>
      <c r="B29" t="str">
        <v>W1→S1</v>
      </c>
      <c r="C29">
        <v>80</v>
      </c>
    </row>
    <row r="30" spans="1:3" x14ac:dyDescent="0.85">
      <c r="A30">
        <v>1</v>
      </c>
      <c r="B30" t="str">
        <v>W1→S2</v>
      </c>
      <c r="C30">
        <v>0</v>
      </c>
    </row>
    <row r="31" spans="1:3" x14ac:dyDescent="0.85">
      <c r="A31">
        <v>2</v>
      </c>
      <c r="B31" t="str">
        <v>W1→S3</v>
      </c>
      <c r="C31">
        <v>20</v>
      </c>
    </row>
    <row r="32" spans="1:3" x14ac:dyDescent="0.85">
      <c r="A32">
        <v>3</v>
      </c>
      <c r="B32" t="str">
        <v>W2→S1</v>
      </c>
      <c r="C32">
        <v>0</v>
      </c>
    </row>
    <row r="33" spans="1:3" x14ac:dyDescent="0.85">
      <c r="A33">
        <v>4</v>
      </c>
      <c r="B33" t="str">
        <v>W2→S2</v>
      </c>
      <c r="C33">
        <v>100</v>
      </c>
    </row>
    <row r="34" spans="1:3" x14ac:dyDescent="0.85">
      <c r="A34">
        <v>5</v>
      </c>
      <c r="B34" t="str">
        <v>W2→S3</v>
      </c>
      <c r="C34">
        <v>50</v>
      </c>
    </row>
  </sheetData>
  <pageMargins left="0.7" right="0.7" top="0.75" bottom="0.75" header="0.3" footer="0.3"/>
  <customProperties>
    <customPr name="isPythonAnalysisSheet" r:id="rId1"/>
    <customPr name="lastPythonCell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Analysis1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Mount</dc:creator>
  <cp:lastModifiedBy>George Mount</cp:lastModifiedBy>
  <dcterms:created xsi:type="dcterms:W3CDTF">2025-11-12T22:09:19Z</dcterms:created>
  <dcterms:modified xsi:type="dcterms:W3CDTF">2025-11-12T22:37:04Z</dcterms:modified>
</cp:coreProperties>
</file>
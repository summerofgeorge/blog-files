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eorgeMount\Documents\GitHub\blog-files\"/>
    </mc:Choice>
  </mc:AlternateContent>
  <xr:revisionPtr revIDLastSave="0" documentId="13_ncr:1_{9A6ACC62-8E28-4361-A4E7-A040BCE7681A}" xr6:coauthVersionLast="47" xr6:coauthVersionMax="47" xr10:uidLastSave="{00000000-0000-0000-0000-000000000000}"/>
  <bookViews>
    <workbookView xWindow="-98" yWindow="-98" windowWidth="18915" windowHeight="12676" tabRatio="500" xr2:uid="{00000000-000D-0000-FFFF-FFFF00000000}"/>
  </bookViews>
  <sheets>
    <sheet name="Unit Economics" sheetId="2" r:id="rId1"/>
    <sheet name="Unit Economics (Key)" sheetId="3" r:id="rId2"/>
    <sheet name="P&amp;L Variance" sheetId="4" r:id="rId3"/>
    <sheet name="P&amp;L Variance (Key)" sheetId="5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5" l="1"/>
  <c r="G12" i="5"/>
  <c r="D12" i="5"/>
  <c r="C12" i="5"/>
  <c r="H11" i="5"/>
  <c r="G11" i="5"/>
  <c r="D11" i="5"/>
  <c r="C11" i="5"/>
  <c r="H10" i="5"/>
  <c r="G10" i="5"/>
  <c r="D10" i="5"/>
  <c r="C10" i="5"/>
  <c r="H9" i="5"/>
  <c r="G9" i="5"/>
  <c r="D9" i="5"/>
  <c r="C9" i="5"/>
  <c r="H7" i="5"/>
  <c r="G7" i="5"/>
  <c r="D7" i="5"/>
  <c r="C7" i="5"/>
  <c r="H6" i="5"/>
  <c r="G6" i="5"/>
  <c r="D6" i="5"/>
  <c r="C6" i="5"/>
  <c r="E15" i="4"/>
  <c r="D15" i="4"/>
  <c r="D13" i="5" s="1"/>
  <c r="C15" i="4"/>
  <c r="E8" i="4"/>
  <c r="E17" i="4" s="1"/>
  <c r="D8" i="4"/>
  <c r="C8" i="4"/>
  <c r="C8" i="3"/>
  <c r="C7" i="3"/>
  <c r="C9" i="3" s="1"/>
  <c r="C10" i="3" s="1"/>
  <c r="C6" i="3"/>
  <c r="C11" i="3" s="1"/>
  <c r="E12" i="5" l="1"/>
  <c r="I12" i="5" s="1"/>
  <c r="F12" i="5"/>
  <c r="F11" i="5"/>
  <c r="E11" i="5"/>
  <c r="I11" i="5" s="1"/>
  <c r="E10" i="5"/>
  <c r="I10" i="5" s="1"/>
  <c r="F10" i="5"/>
  <c r="F9" i="5"/>
  <c r="E9" i="5"/>
  <c r="I9" i="5" s="1"/>
  <c r="F7" i="5"/>
  <c r="E7" i="5"/>
  <c r="I7" i="5" s="1"/>
  <c r="F6" i="5"/>
  <c r="E6" i="5"/>
  <c r="G13" i="5"/>
  <c r="C13" i="5"/>
  <c r="H13" i="5"/>
  <c r="D8" i="5"/>
  <c r="D17" i="4"/>
  <c r="D14" i="5" s="1"/>
  <c r="H8" i="5"/>
  <c r="G8" i="5"/>
  <c r="C8" i="5"/>
  <c r="C17" i="4"/>
  <c r="E13" i="5" l="1"/>
  <c r="F13" i="5"/>
  <c r="E8" i="5"/>
  <c r="F8" i="5"/>
  <c r="H14" i="5"/>
  <c r="G14" i="5"/>
  <c r="C14" i="5"/>
  <c r="I6" i="5"/>
  <c r="F14" i="5" l="1"/>
  <c r="E14" i="5"/>
  <c r="I14" i="5" s="1"/>
  <c r="I13" i="5"/>
  <c r="I8" i="5"/>
</calcChain>
</file>

<file path=xl/sharedStrings.xml><?xml version="1.0" encoding="utf-8"?>
<sst xmlns="http://schemas.openxmlformats.org/spreadsheetml/2006/main" count="69" uniqueCount="60">
  <si>
    <t>Unit Economics — Inputs</t>
  </si>
  <si>
    <t>Subscription software business, monthly view. Select B6:C10 and run @unit-economics.</t>
  </si>
  <si>
    <t>Input</t>
  </si>
  <si>
    <t>Value</t>
  </si>
  <si>
    <t>Note</t>
  </si>
  <si>
    <t>New customers this month</t>
  </si>
  <si>
    <t>Customers acquired in the period</t>
  </si>
  <si>
    <t>Sales and marketing spend</t>
  </si>
  <si>
    <t>Total S&amp;M cost for the period</t>
  </si>
  <si>
    <t>Average revenue per customer (monthly)</t>
  </si>
  <si>
    <t>ARPU</t>
  </si>
  <si>
    <t>Gross margin</t>
  </si>
  <si>
    <t>Share of revenue left after cost to serve</t>
  </si>
  <si>
    <t>Monthly churn rate</t>
  </si>
  <si>
    <t>Share of customers lost each month</t>
  </si>
  <si>
    <t>Yellow cells are inputs you can change. Copilot will build the analysis when you run the skill.</t>
  </si>
  <si>
    <t>Unit Economics — Reference Calculation</t>
  </si>
  <si>
    <t>Live formulas off the Unit Economics inputs. Use this to check Copilot's output. Change an input and this updates too.</t>
  </si>
  <si>
    <t>Metric</t>
  </si>
  <si>
    <t>How it's calculated</t>
  </si>
  <si>
    <t>Customer acquisition cost (CAC)</t>
  </si>
  <si>
    <t>S&amp;M spend / new customers</t>
  </si>
  <si>
    <t>Gross profit per customer (monthly)</t>
  </si>
  <si>
    <t>ARPU x gross margin</t>
  </si>
  <si>
    <t>Average customer lifetime (months)</t>
  </si>
  <si>
    <t>1 / monthly churn</t>
  </si>
  <si>
    <t>Lifetime value (LTV)</t>
  </si>
  <si>
    <t>Monthly gross profit per customer x lifetime</t>
  </si>
  <si>
    <t>LTV to CAC ratio</t>
  </si>
  <si>
    <t>LTV / CAC (3.0x+ is generally healthy)</t>
  </si>
  <si>
    <t>CAC payback period (months)</t>
  </si>
  <si>
    <t>CAC / monthly gross profit per customer</t>
  </si>
  <si>
    <t>Monthly P&amp;L — Actual vs Budget vs Prior</t>
  </si>
  <si>
    <t>Figures in US dollars. Run @variance-commentary on this sheet.</t>
  </si>
  <si>
    <t>Line item</t>
  </si>
  <si>
    <t>Actual</t>
  </si>
  <si>
    <t>Budget</t>
  </si>
  <si>
    <t>Prior Month</t>
  </si>
  <si>
    <t>Revenue</t>
  </si>
  <si>
    <t>Cost of revenue</t>
  </si>
  <si>
    <t>Gross profit</t>
  </si>
  <si>
    <t>Operating expenses</t>
  </si>
  <si>
    <t xml:space="preserve">   Sales &amp; marketing</t>
  </si>
  <si>
    <t xml:space="preserve">   Research &amp; development</t>
  </si>
  <si>
    <t xml:space="preserve">   General &amp; administrative</t>
  </si>
  <si>
    <t xml:space="preserve">   Customer success</t>
  </si>
  <si>
    <t>Total operating expenses</t>
  </si>
  <si>
    <t>Operating income</t>
  </si>
  <si>
    <t>P&amp;L Variance — Reference Calculation</t>
  </si>
  <si>
    <t>Variances and a materiality flag (&gt; $10,000 or &gt; 5% vs budget). Use this to check which lines the skill should call out.</t>
  </si>
  <si>
    <t>$ vs Bud</t>
  </si>
  <si>
    <t>% vs Bud</t>
  </si>
  <si>
    <t>$ vs Prior</t>
  </si>
  <si>
    <t>% vs Prior</t>
  </si>
  <si>
    <t>Material?</t>
  </si>
  <si>
    <t>Sales &amp; marketing</t>
  </si>
  <si>
    <t>Research &amp; development</t>
  </si>
  <si>
    <t>General &amp; administrative</t>
  </si>
  <si>
    <t>Customer success</t>
  </si>
  <si>
    <t>Materiality is keyed to the variance vs budget, matching the skill's rule.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</si>
</sst>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;&quot;($&quot;#,##0\)"/>
    <numFmt numFmtId="165" formatCode="0.0%;\(0.0%\)"/>
    <numFmt numFmtId="166" formatCode="0.0"/>
    <numFmt numFmtId="167" formatCode="0.0\x"/>
  </numFmts>
  <fonts count="14" x14ac:knownFonts="1">
    <font>
      <sz val="11"/>
      <color theme="1"/>
      <name val="Calibri"/>
      <family val="2"/>
      <charset val="1"/>
    </font>
    <font>
      <sz val="11"/>
      <color rgb="FF1F2120"/>
      <name val="Arial"/>
      <family val="2"/>
    </font>
    <font>
      <b/>
      <sz val="11"/>
      <color rgb="FF1F2120"/>
      <name val="Arial"/>
      <family val="2"/>
    </font>
    <font>
      <b/>
      <sz val="16"/>
      <color rgb="FF1F2120"/>
      <name val="Arial"/>
      <family val="2"/>
    </font>
    <font>
      <sz val="10"/>
      <color rgb="FF70707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i/>
      <sz val="10"/>
      <color rgb="FF707070"/>
      <name val="Arial"/>
      <family val="2"/>
    </font>
    <font>
      <sz val="11"/>
      <color rgb="FF008000"/>
      <name val="Arial"/>
      <family val="2"/>
    </font>
    <font>
      <b/>
      <sz val="11"/>
      <color rgb="FFCF3338"/>
      <name val="Arial"/>
      <family val="2"/>
    </font>
    <font>
      <sz val="10"/>
      <color rgb="FF1F2120"/>
      <name val="Arial"/>
      <family val="2"/>
    </font>
    <font>
      <sz val="10"/>
      <color rgb="FF008000"/>
      <name val="Arial"/>
      <family val="2"/>
    </font>
    <font>
      <b/>
      <sz val="10"/>
      <color rgb="FF1F2120"/>
      <name val="Arial"/>
      <family val="2"/>
    </font>
    <font>
      <i/>
      <sz val="9"/>
      <color rgb="FF70707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F3338"/>
        <bgColor rgb="FF99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 style="thin">
        <color rgb="FF1F212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right" vertical="center"/>
    </xf>
    <xf numFmtId="0" fontId="1" fillId="0" borderId="0" xfId="0" applyFont="1"/>
    <xf numFmtId="3" fontId="6" fillId="3" borderId="0" xfId="0" applyNumberFormat="1" applyFont="1" applyFill="1" applyAlignment="1">
      <alignment horizontal="right"/>
    </xf>
    <xf numFmtId="164" fontId="6" fillId="3" borderId="0" xfId="0" applyNumberFormat="1" applyFont="1" applyFill="1" applyAlignment="1">
      <alignment horizontal="right"/>
    </xf>
    <xf numFmtId="165" fontId="6" fillId="3" borderId="0" xfId="0" applyNumberFormat="1" applyFont="1" applyFill="1" applyAlignment="1">
      <alignment horizontal="right"/>
    </xf>
    <xf numFmtId="0" fontId="7" fillId="0" borderId="0" xfId="0" applyFont="1"/>
    <xf numFmtId="164" fontId="8" fillId="0" borderId="0" xfId="0" applyNumberFormat="1" applyFont="1" applyAlignment="1">
      <alignment horizontal="right"/>
    </xf>
    <xf numFmtId="166" fontId="8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7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0" fontId="2" fillId="0" borderId="0" xfId="0" applyFont="1"/>
    <xf numFmtId="164" fontId="2" fillId="0" borderId="1" xfId="0" applyNumberFormat="1" applyFont="1" applyBorder="1" applyAlignment="1">
      <alignment horizontal="right"/>
    </xf>
    <xf numFmtId="0" fontId="9" fillId="0" borderId="0" xfId="0" applyFont="1"/>
    <xf numFmtId="0" fontId="5" fillId="2" borderId="0" xfId="0" applyFont="1" applyFill="1" applyAlignment="1">
      <alignment horizontal="center" vertical="center"/>
    </xf>
    <xf numFmtId="0" fontId="10" fillId="0" borderId="0" xfId="0" applyFont="1"/>
    <xf numFmtId="164" fontId="11" fillId="0" borderId="0" xfId="0" applyNumberFormat="1" applyFont="1" applyAlignment="1">
      <alignment horizontal="right"/>
    </xf>
    <xf numFmtId="164" fontId="10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/>
    </xf>
    <xf numFmtId="0" fontId="12" fillId="0" borderId="0" xfId="0" applyFont="1" applyAlignment="1">
      <alignment horizontal="center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7070"/>
      <rgbColor rgb="FF9999FF"/>
      <rgbColor rgb="FFCF3338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2"/>
  <sheetViews>
    <sheetView showGridLines="0" tabSelected="1" zoomScaleNormal="100" workbookViewId="0"/>
  </sheetViews>
  <sheetFormatPr defaultColWidth="8.6640625" defaultRowHeight="14.25" x14ac:dyDescent="0.45"/>
  <cols>
    <col min="1" max="1" width="3" customWidth="1"/>
    <col min="2" max="2" width="40" customWidth="1"/>
    <col min="3" max="3" width="16" customWidth="1"/>
    <col min="4" max="4" width="44" customWidth="1"/>
  </cols>
  <sheetData>
    <row r="2" spans="2:4" ht="20.65" x14ac:dyDescent="0.6">
      <c r="B2" s="1" t="s">
        <v>0</v>
      </c>
    </row>
    <row r="3" spans="2:4" x14ac:dyDescent="0.45">
      <c r="B3" s="2" t="s">
        <v>1</v>
      </c>
    </row>
    <row r="5" spans="2:4" x14ac:dyDescent="0.45">
      <c r="B5" s="3" t="s">
        <v>2</v>
      </c>
      <c r="C5" s="4" t="s">
        <v>3</v>
      </c>
      <c r="D5" s="3" t="s">
        <v>4</v>
      </c>
    </row>
    <row r="6" spans="2:4" x14ac:dyDescent="0.45">
      <c r="B6" s="5" t="s">
        <v>5</v>
      </c>
      <c r="C6" s="6">
        <v>500</v>
      </c>
      <c r="D6" s="2" t="s">
        <v>6</v>
      </c>
    </row>
    <row r="7" spans="2:4" x14ac:dyDescent="0.45">
      <c r="B7" s="5" t="s">
        <v>7</v>
      </c>
      <c r="C7" s="7">
        <v>150000</v>
      </c>
      <c r="D7" s="2" t="s">
        <v>8</v>
      </c>
    </row>
    <row r="8" spans="2:4" x14ac:dyDescent="0.45">
      <c r="B8" s="5" t="s">
        <v>9</v>
      </c>
      <c r="C8" s="7">
        <v>80</v>
      </c>
      <c r="D8" s="2" t="s">
        <v>10</v>
      </c>
    </row>
    <row r="9" spans="2:4" x14ac:dyDescent="0.45">
      <c r="B9" s="5" t="s">
        <v>11</v>
      </c>
      <c r="C9" s="8">
        <v>0.75</v>
      </c>
      <c r="D9" s="2" t="s">
        <v>12</v>
      </c>
    </row>
    <row r="10" spans="2:4" x14ac:dyDescent="0.45">
      <c r="B10" s="5" t="s">
        <v>13</v>
      </c>
      <c r="C10" s="8">
        <v>0.04</v>
      </c>
      <c r="D10" s="2" t="s">
        <v>14</v>
      </c>
    </row>
    <row r="12" spans="2:4" x14ac:dyDescent="0.45">
      <c r="B12" s="9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D11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42" customWidth="1"/>
    <col min="3" max="3" width="16" customWidth="1"/>
    <col min="4" max="4" width="50" customWidth="1"/>
  </cols>
  <sheetData>
    <row r="2" spans="2:4" ht="20.65" x14ac:dyDescent="0.6">
      <c r="B2" s="1" t="s">
        <v>16</v>
      </c>
    </row>
    <row r="3" spans="2:4" x14ac:dyDescent="0.45">
      <c r="B3" s="2" t="s">
        <v>17</v>
      </c>
    </row>
    <row r="5" spans="2:4" x14ac:dyDescent="0.45">
      <c r="B5" s="3" t="s">
        <v>18</v>
      </c>
      <c r="C5" s="4" t="s">
        <v>3</v>
      </c>
      <c r="D5" s="3" t="s">
        <v>19</v>
      </c>
    </row>
    <row r="6" spans="2:4" x14ac:dyDescent="0.45">
      <c r="B6" s="5" t="s">
        <v>20</v>
      </c>
      <c r="C6" s="10">
        <f>'Unit Economics'!C7/'Unit Economics'!C6</f>
        <v>300</v>
      </c>
      <c r="D6" s="2" t="s">
        <v>21</v>
      </c>
    </row>
    <row r="7" spans="2:4" x14ac:dyDescent="0.45">
      <c r="B7" s="5" t="s">
        <v>22</v>
      </c>
      <c r="C7" s="10">
        <f>'Unit Economics'!C8*'Unit Economics'!C9</f>
        <v>60</v>
      </c>
      <c r="D7" s="2" t="s">
        <v>23</v>
      </c>
    </row>
    <row r="8" spans="2:4" x14ac:dyDescent="0.45">
      <c r="B8" s="5" t="s">
        <v>24</v>
      </c>
      <c r="C8" s="11">
        <f>IFERROR(1/'Unit Economics'!C10,"")</f>
        <v>25</v>
      </c>
      <c r="D8" s="2" t="s">
        <v>25</v>
      </c>
    </row>
    <row r="9" spans="2:4" x14ac:dyDescent="0.45">
      <c r="B9" s="5" t="s">
        <v>26</v>
      </c>
      <c r="C9" s="12">
        <f>C7*C8</f>
        <v>1500</v>
      </c>
      <c r="D9" s="2" t="s">
        <v>27</v>
      </c>
    </row>
    <row r="10" spans="2:4" x14ac:dyDescent="0.45">
      <c r="B10" s="5" t="s">
        <v>28</v>
      </c>
      <c r="C10" s="13">
        <f>IFERROR(C9/C6,"")</f>
        <v>5</v>
      </c>
      <c r="D10" s="2" t="s">
        <v>29</v>
      </c>
    </row>
    <row r="11" spans="2:4" x14ac:dyDescent="0.45">
      <c r="B11" s="5" t="s">
        <v>30</v>
      </c>
      <c r="C11" s="14">
        <f>IFERROR(C6/C7,"")</f>
        <v>5</v>
      </c>
      <c r="D11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17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34" customWidth="1"/>
    <col min="3" max="5" width="16" customWidth="1"/>
  </cols>
  <sheetData>
    <row r="2" spans="2:5" ht="20.65" x14ac:dyDescent="0.6">
      <c r="B2" s="1" t="s">
        <v>32</v>
      </c>
    </row>
    <row r="3" spans="2:5" x14ac:dyDescent="0.45">
      <c r="B3" s="2" t="s">
        <v>33</v>
      </c>
    </row>
    <row r="5" spans="2:5" x14ac:dyDescent="0.45">
      <c r="B5" s="3" t="s">
        <v>34</v>
      </c>
      <c r="C5" s="4" t="s">
        <v>35</v>
      </c>
      <c r="D5" s="4" t="s">
        <v>36</v>
      </c>
      <c r="E5" s="4" t="s">
        <v>37</v>
      </c>
    </row>
    <row r="6" spans="2:5" x14ac:dyDescent="0.45">
      <c r="B6" s="5" t="s">
        <v>38</v>
      </c>
      <c r="C6" s="15">
        <v>1240000</v>
      </c>
      <c r="D6" s="15">
        <v>1200000</v>
      </c>
      <c r="E6" s="15">
        <v>1180000</v>
      </c>
    </row>
    <row r="7" spans="2:5" x14ac:dyDescent="0.45">
      <c r="B7" s="5" t="s">
        <v>39</v>
      </c>
      <c r="C7" s="15">
        <v>306000</v>
      </c>
      <c r="D7" s="15">
        <v>300000</v>
      </c>
      <c r="E7" s="15">
        <v>295000</v>
      </c>
    </row>
    <row r="8" spans="2:5" x14ac:dyDescent="0.45">
      <c r="B8" s="16" t="s">
        <v>40</v>
      </c>
      <c r="C8" s="17">
        <f>C6-C7</f>
        <v>934000</v>
      </c>
      <c r="D8" s="17">
        <f>D6-D7</f>
        <v>900000</v>
      </c>
      <c r="E8" s="17">
        <f>E6-E7</f>
        <v>885000</v>
      </c>
    </row>
    <row r="10" spans="2:5" x14ac:dyDescent="0.45">
      <c r="B10" s="18" t="s">
        <v>41</v>
      </c>
    </row>
    <row r="11" spans="2:5" x14ac:dyDescent="0.45">
      <c r="B11" s="5" t="s">
        <v>42</v>
      </c>
      <c r="C11" s="15">
        <v>280000</v>
      </c>
      <c r="D11" s="15">
        <v>240000</v>
      </c>
      <c r="E11" s="15">
        <v>250000</v>
      </c>
    </row>
    <row r="12" spans="2:5" x14ac:dyDescent="0.45">
      <c r="B12" s="5" t="s">
        <v>43</v>
      </c>
      <c r="C12" s="15">
        <v>210000</v>
      </c>
      <c r="D12" s="15">
        <v>205000</v>
      </c>
      <c r="E12" s="15">
        <v>200000</v>
      </c>
    </row>
    <row r="13" spans="2:5" x14ac:dyDescent="0.45">
      <c r="B13" s="5" t="s">
        <v>44</v>
      </c>
      <c r="C13" s="15">
        <v>165000</v>
      </c>
      <c r="D13" s="15">
        <v>150000</v>
      </c>
      <c r="E13" s="15">
        <v>152000</v>
      </c>
    </row>
    <row r="14" spans="2:5" x14ac:dyDescent="0.45">
      <c r="B14" s="5" t="s">
        <v>45</v>
      </c>
      <c r="C14" s="15">
        <v>95000</v>
      </c>
      <c r="D14" s="15">
        <v>100000</v>
      </c>
      <c r="E14" s="15">
        <v>98000</v>
      </c>
    </row>
    <row r="15" spans="2:5" x14ac:dyDescent="0.45">
      <c r="B15" s="16" t="s">
        <v>46</v>
      </c>
      <c r="C15" s="17">
        <f>SUM(C11:C14)</f>
        <v>750000</v>
      </c>
      <c r="D15" s="17">
        <f>SUM(D11:D14)</f>
        <v>695000</v>
      </c>
      <c r="E15" s="17">
        <f>SUM(E11:E14)</f>
        <v>700000</v>
      </c>
    </row>
    <row r="17" spans="2:5" x14ac:dyDescent="0.45">
      <c r="B17" s="16" t="s">
        <v>47</v>
      </c>
      <c r="C17" s="17">
        <f>C8-C15</f>
        <v>184000</v>
      </c>
      <c r="D17" s="17">
        <f>D8-D15</f>
        <v>205000</v>
      </c>
      <c r="E17" s="17">
        <f>E8-E15</f>
        <v>185000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6"/>
  <sheetViews>
    <sheetView showGridLines="0" zoomScaleNormal="100" workbookViewId="0"/>
  </sheetViews>
  <sheetFormatPr defaultColWidth="8.6640625" defaultRowHeight="14.25" x14ac:dyDescent="0.45"/>
  <cols>
    <col min="1" max="1" width="3" customWidth="1"/>
    <col min="2" max="2" width="26" customWidth="1"/>
    <col min="3" max="9" width="14" customWidth="1"/>
  </cols>
  <sheetData>
    <row r="2" spans="2:9" ht="20.65" x14ac:dyDescent="0.6">
      <c r="B2" s="1" t="s">
        <v>48</v>
      </c>
    </row>
    <row r="3" spans="2:9" x14ac:dyDescent="0.45">
      <c r="B3" s="2" t="s">
        <v>49</v>
      </c>
    </row>
    <row r="5" spans="2:9" x14ac:dyDescent="0.45">
      <c r="B5" s="3" t="s">
        <v>34</v>
      </c>
      <c r="C5" s="4" t="s">
        <v>35</v>
      </c>
      <c r="D5" s="4" t="s">
        <v>36</v>
      </c>
      <c r="E5" s="4" t="s">
        <v>50</v>
      </c>
      <c r="F5" s="4" t="s">
        <v>51</v>
      </c>
      <c r="G5" s="4" t="s">
        <v>52</v>
      </c>
      <c r="H5" s="4" t="s">
        <v>53</v>
      </c>
      <c r="I5" s="19" t="s">
        <v>54</v>
      </c>
    </row>
    <row r="6" spans="2:9" x14ac:dyDescent="0.45">
      <c r="B6" s="20" t="s">
        <v>38</v>
      </c>
      <c r="C6" s="21">
        <f>'P&amp;L Variance'!C6</f>
        <v>1240000</v>
      </c>
      <c r="D6" s="21">
        <f>'P&amp;L Variance'!D6</f>
        <v>1200000</v>
      </c>
      <c r="E6" s="22">
        <f t="shared" ref="E6:E14" si="0">C6-D6</f>
        <v>40000</v>
      </c>
      <c r="F6" s="23">
        <f t="shared" ref="F6:F14" si="1">IFERROR((C6-D6)/ABS(D6),"")</f>
        <v>3.3333333333333333E-2</v>
      </c>
      <c r="G6" s="22">
        <f>'P&amp;L Variance'!C6-'P&amp;L Variance'!E6</f>
        <v>60000</v>
      </c>
      <c r="H6" s="23">
        <f>IFERROR(('P&amp;L Variance'!C6-'P&amp;L Variance'!E6)/ABS('P&amp;L Variance'!E6),"")</f>
        <v>5.0847457627118647E-2</v>
      </c>
      <c r="I6" s="24" t="str">
        <f t="shared" ref="I6:I14" si="2">IF(OR(ABS(E6)&gt;10000,ABS(F6)&gt;0.05),"Material","-")</f>
        <v>Material</v>
      </c>
    </row>
    <row r="7" spans="2:9" x14ac:dyDescent="0.45">
      <c r="B7" s="20" t="s">
        <v>39</v>
      </c>
      <c r="C7" s="21">
        <f>'P&amp;L Variance'!C7</f>
        <v>306000</v>
      </c>
      <c r="D7" s="21">
        <f>'P&amp;L Variance'!D7</f>
        <v>300000</v>
      </c>
      <c r="E7" s="22">
        <f t="shared" si="0"/>
        <v>6000</v>
      </c>
      <c r="F7" s="23">
        <f t="shared" si="1"/>
        <v>0.02</v>
      </c>
      <c r="G7" s="22">
        <f>'P&amp;L Variance'!C7-'P&amp;L Variance'!E7</f>
        <v>11000</v>
      </c>
      <c r="H7" s="23">
        <f>IFERROR(('P&amp;L Variance'!C7-'P&amp;L Variance'!E7)/ABS('P&amp;L Variance'!E7),"")</f>
        <v>3.7288135593220341E-2</v>
      </c>
      <c r="I7" s="24" t="str">
        <f t="shared" si="2"/>
        <v>-</v>
      </c>
    </row>
    <row r="8" spans="2:9" x14ac:dyDescent="0.45">
      <c r="B8" s="20" t="s">
        <v>40</v>
      </c>
      <c r="C8" s="21">
        <f>'P&amp;L Variance'!C8</f>
        <v>934000</v>
      </c>
      <c r="D8" s="21">
        <f>'P&amp;L Variance'!D8</f>
        <v>900000</v>
      </c>
      <c r="E8" s="22">
        <f t="shared" si="0"/>
        <v>34000</v>
      </c>
      <c r="F8" s="23">
        <f t="shared" si="1"/>
        <v>3.7777777777777778E-2</v>
      </c>
      <c r="G8" s="22">
        <f>'P&amp;L Variance'!C8-'P&amp;L Variance'!E8</f>
        <v>49000</v>
      </c>
      <c r="H8" s="23">
        <f>IFERROR(('P&amp;L Variance'!C8-'P&amp;L Variance'!E8)/ABS('P&amp;L Variance'!E8),"")</f>
        <v>5.5367231638418078E-2</v>
      </c>
      <c r="I8" s="24" t="str">
        <f t="shared" si="2"/>
        <v>Material</v>
      </c>
    </row>
    <row r="9" spans="2:9" x14ac:dyDescent="0.45">
      <c r="B9" s="20" t="s">
        <v>55</v>
      </c>
      <c r="C9" s="21">
        <f>'P&amp;L Variance'!C11</f>
        <v>280000</v>
      </c>
      <c r="D9" s="21">
        <f>'P&amp;L Variance'!D11</f>
        <v>240000</v>
      </c>
      <c r="E9" s="22">
        <f t="shared" si="0"/>
        <v>40000</v>
      </c>
      <c r="F9" s="23">
        <f t="shared" si="1"/>
        <v>0.16666666666666666</v>
      </c>
      <c r="G9" s="22">
        <f>'P&amp;L Variance'!C11-'P&amp;L Variance'!E11</f>
        <v>30000</v>
      </c>
      <c r="H9" s="23">
        <f>IFERROR(('P&amp;L Variance'!C11-'P&amp;L Variance'!E11)/ABS('P&amp;L Variance'!E11),"")</f>
        <v>0.12</v>
      </c>
      <c r="I9" s="24" t="str">
        <f t="shared" si="2"/>
        <v>Material</v>
      </c>
    </row>
    <row r="10" spans="2:9" x14ac:dyDescent="0.45">
      <c r="B10" s="20" t="s">
        <v>56</v>
      </c>
      <c r="C10" s="21">
        <f>'P&amp;L Variance'!C12</f>
        <v>210000</v>
      </c>
      <c r="D10" s="21">
        <f>'P&amp;L Variance'!D12</f>
        <v>205000</v>
      </c>
      <c r="E10" s="22">
        <f t="shared" si="0"/>
        <v>5000</v>
      </c>
      <c r="F10" s="23">
        <f t="shared" si="1"/>
        <v>2.4390243902439025E-2</v>
      </c>
      <c r="G10" s="22">
        <f>'P&amp;L Variance'!C12-'P&amp;L Variance'!E12</f>
        <v>10000</v>
      </c>
      <c r="H10" s="23">
        <f>IFERROR(('P&amp;L Variance'!C12-'P&amp;L Variance'!E12)/ABS('P&amp;L Variance'!E12),"")</f>
        <v>0.05</v>
      </c>
      <c r="I10" s="24" t="str">
        <f t="shared" si="2"/>
        <v>-</v>
      </c>
    </row>
    <row r="11" spans="2:9" x14ac:dyDescent="0.45">
      <c r="B11" s="20" t="s">
        <v>57</v>
      </c>
      <c r="C11" s="21">
        <f>'P&amp;L Variance'!C13</f>
        <v>165000</v>
      </c>
      <c r="D11" s="21">
        <f>'P&amp;L Variance'!D13</f>
        <v>150000</v>
      </c>
      <c r="E11" s="22">
        <f t="shared" si="0"/>
        <v>15000</v>
      </c>
      <c r="F11" s="23">
        <f t="shared" si="1"/>
        <v>0.1</v>
      </c>
      <c r="G11" s="22">
        <f>'P&amp;L Variance'!C13-'P&amp;L Variance'!E13</f>
        <v>13000</v>
      </c>
      <c r="H11" s="23">
        <f>IFERROR(('P&amp;L Variance'!C13-'P&amp;L Variance'!E13)/ABS('P&amp;L Variance'!E13),"")</f>
        <v>8.5526315789473686E-2</v>
      </c>
      <c r="I11" s="24" t="str">
        <f t="shared" si="2"/>
        <v>Material</v>
      </c>
    </row>
    <row r="12" spans="2:9" x14ac:dyDescent="0.45">
      <c r="B12" s="20" t="s">
        <v>58</v>
      </c>
      <c r="C12" s="21">
        <f>'P&amp;L Variance'!C14</f>
        <v>95000</v>
      </c>
      <c r="D12" s="21">
        <f>'P&amp;L Variance'!D14</f>
        <v>100000</v>
      </c>
      <c r="E12" s="22">
        <f t="shared" si="0"/>
        <v>-5000</v>
      </c>
      <c r="F12" s="23">
        <f t="shared" si="1"/>
        <v>-0.05</v>
      </c>
      <c r="G12" s="22">
        <f>'P&amp;L Variance'!C14-'P&amp;L Variance'!E14</f>
        <v>-3000</v>
      </c>
      <c r="H12" s="23">
        <f>IFERROR(('P&amp;L Variance'!C14-'P&amp;L Variance'!E14)/ABS('P&amp;L Variance'!E14),"")</f>
        <v>-3.0612244897959183E-2</v>
      </c>
      <c r="I12" s="24" t="str">
        <f t="shared" si="2"/>
        <v>-</v>
      </c>
    </row>
    <row r="13" spans="2:9" x14ac:dyDescent="0.45">
      <c r="B13" s="20" t="s">
        <v>46</v>
      </c>
      <c r="C13" s="21">
        <f>'P&amp;L Variance'!C15</f>
        <v>750000</v>
      </c>
      <c r="D13" s="21">
        <f>'P&amp;L Variance'!D15</f>
        <v>695000</v>
      </c>
      <c r="E13" s="22">
        <f t="shared" si="0"/>
        <v>55000</v>
      </c>
      <c r="F13" s="23">
        <f t="shared" si="1"/>
        <v>7.9136690647482008E-2</v>
      </c>
      <c r="G13" s="22">
        <f>'P&amp;L Variance'!C15-'P&amp;L Variance'!E15</f>
        <v>50000</v>
      </c>
      <c r="H13" s="23">
        <f>IFERROR(('P&amp;L Variance'!C15-'P&amp;L Variance'!E15)/ABS('P&amp;L Variance'!E15),"")</f>
        <v>7.1428571428571425E-2</v>
      </c>
      <c r="I13" s="24" t="str">
        <f t="shared" si="2"/>
        <v>Material</v>
      </c>
    </row>
    <row r="14" spans="2:9" x14ac:dyDescent="0.45">
      <c r="B14" s="20" t="s">
        <v>47</v>
      </c>
      <c r="C14" s="21">
        <f>'P&amp;L Variance'!C17</f>
        <v>184000</v>
      </c>
      <c r="D14" s="21">
        <f>'P&amp;L Variance'!D17</f>
        <v>205000</v>
      </c>
      <c r="E14" s="22">
        <f t="shared" si="0"/>
        <v>-21000</v>
      </c>
      <c r="F14" s="23">
        <f t="shared" si="1"/>
        <v>-0.1024390243902439</v>
      </c>
      <c r="G14" s="22">
        <f>'P&amp;L Variance'!C17-'P&amp;L Variance'!E17</f>
        <v>-1000</v>
      </c>
      <c r="H14" s="23">
        <f>IFERROR(('P&amp;L Variance'!C17-'P&amp;L Variance'!E17)/ABS('P&amp;L Variance'!E17),"")</f>
        <v>-5.4054054054054057E-3</v>
      </c>
      <c r="I14" s="24" t="str">
        <f t="shared" si="2"/>
        <v>Material</v>
      </c>
    </row>
    <row r="16" spans="2:9" x14ac:dyDescent="0.45">
      <c r="B16" s="25" t="s">
        <v>59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Unit Economics</vt:lpstr>
      <vt:lpstr>Unit Economics (Key)</vt:lpstr>
      <vt:lpstr>P&amp;L Variance</vt:lpstr>
      <vt:lpstr>P&amp;L Variance (Key)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George Mount</cp:lastModifiedBy>
  <cp:revision>0</cp:revision>
  <dcterms:created xsi:type="dcterms:W3CDTF">2026-07-22T14:42:20Z</dcterms:created>
  <dcterms:modified xsi:type="dcterms:W3CDTF">2026-08-06T13:44:26Z</dcterms:modified>
  <dc:language>en-US</dc:language>
</cp:coreProperties>
</file>
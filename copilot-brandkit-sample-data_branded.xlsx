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13_ncr:1_{95A0124E-490B-4B35-9ED2-18143557392D}" xr6:coauthVersionLast="47" xr6:coauthVersionMax="47" xr10:uidLastSave="{00000000-0000-0000-0000-000000000000}"/>
  <bookViews>
    <workbookView xWindow="-98" yWindow="-98" windowWidth="18915" windowHeight="12676" tabRatio="500" xr2:uid="{00000000-000D-0000-FFFF-FFFF00000000}"/>
  </bookViews>
  <sheets>
    <sheet name="Summary" sheetId="1" r:id="rId1"/>
    <sheet name="Raw Data" sheetId="2" r:id="rId2"/>
    <sheet name="Pri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F7" i="1"/>
  <c r="F6" i="1"/>
  <c r="F5" i="1"/>
  <c r="C16" i="1"/>
  <c r="B16" i="1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C15" i="1"/>
  <c r="B15" i="1"/>
  <c r="C14" i="1"/>
  <c r="B14" i="1"/>
  <c r="C13" i="1"/>
  <c r="B13" i="1"/>
  <c r="E8" i="1"/>
  <c r="D8" i="1"/>
  <c r="C8" i="1"/>
  <c r="B8" i="1"/>
  <c r="E7" i="1"/>
  <c r="D7" i="1"/>
  <c r="C7" i="1" l="1"/>
  <c r="B7" i="1"/>
  <c r="E6" i="1"/>
  <c r="D6" i="1"/>
  <c r="C6" i="1"/>
  <c r="B6" i="1"/>
  <c r="E5" i="1"/>
  <c r="D5" i="1"/>
  <c r="C5" i="1"/>
  <c r="B5" i="1"/>
</calcChain>
</file>

<file path=xl/sharedStrings.xml><?xml version="1.0" encoding="utf-8"?>
<sst xmlns="http://schemas.openxmlformats.org/spreadsheetml/2006/main" count="320" uniqueCount="22">
  <si>
    <t>2025 Sales Summary</t>
  </si>
  <si>
    <t>Revenue by Region and Quarter</t>
  </si>
  <si>
    <t>Region</t>
  </si>
  <si>
    <t>Q1</t>
  </si>
  <si>
    <t>Q2</t>
  </si>
  <si>
    <t>Q3</t>
  </si>
  <si>
    <t>Q4</t>
  </si>
  <si>
    <t>Total</t>
  </si>
  <si>
    <t>Northeast</t>
  </si>
  <si>
    <t>Southeast</t>
  </si>
  <si>
    <t>Midwest</t>
  </si>
  <si>
    <t>West</t>
  </si>
  <si>
    <t>Revenue by Product</t>
  </si>
  <si>
    <t>Product</t>
  </si>
  <si>
    <t>Units</t>
  </si>
  <si>
    <t>Revenue</t>
  </si>
  <si>
    <t>Starter Plan</t>
  </si>
  <si>
    <t>Pro Plan</t>
  </si>
  <si>
    <t>Enterprise Plan</t>
  </si>
  <si>
    <t>Date</t>
  </si>
  <si>
    <t>Quarter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</si>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</sst>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mm/dd/yyyy"/>
    <numFmt numFmtId="166" formatCode="&quot;$&quot;#,##0"/>
  </numFmts>
  <fonts count="8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20"/>
      <color rgb="FFFFFFFF"/>
      <name val="Calibri"/>
      <family val="2"/>
    </font>
    <font>
      <b/>
      <sz val="11"/>
      <color rgb="FFCF3338"/>
      <name val="Calibri"/>
      <family val="2"/>
    </font>
    <font>
      <b/>
      <sz val="11"/>
      <color rgb="FF3D3935"/>
      <name val="Arial"/>
      <family val="2"/>
    </font>
    <font>
      <sz val="11"/>
      <color rgb="FF3D3935"/>
      <name val="Arial"/>
      <family val="2"/>
    </font>
    <font>
      <b/>
      <sz val="11"/>
      <color rgb="FF3D3935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3338"/>
        <bgColor indexed="64"/>
      </patternFill>
    </fill>
    <fill>
      <patternFill patternType="solid">
        <fgColor rgb="FFF3CCCD"/>
        <bgColor indexed="64"/>
      </patternFill>
    </fill>
    <fill>
      <patternFill patternType="solid">
        <fgColor rgb="FFFBEFEF"/>
        <bgColor indexed="64"/>
      </patternFill>
    </fill>
  </fills>
  <borders count="9">
    <border>
      <left/>
      <right/>
      <top/>
      <bottom/>
      <diagonal/>
    </border>
    <border>
      <left style="thin">
        <color rgb="FFFBC475"/>
      </left>
      <right/>
      <top/>
      <bottom/>
      <diagonal/>
    </border>
    <border>
      <left/>
      <right style="thin">
        <color rgb="FFFBC475"/>
      </right>
      <top/>
      <bottom/>
      <diagonal/>
    </border>
    <border>
      <left style="thin">
        <color rgb="FFFBC475"/>
      </left>
      <right/>
      <top style="thin">
        <color rgb="FFFBC475"/>
      </top>
      <bottom style="medium">
        <color rgb="FFCF3338"/>
      </bottom>
      <diagonal/>
    </border>
    <border>
      <left/>
      <right/>
      <top style="thin">
        <color rgb="FFFBC475"/>
      </top>
      <bottom style="medium">
        <color rgb="FFCF3338"/>
      </bottom>
      <diagonal/>
    </border>
    <border>
      <left/>
      <right style="thin">
        <color rgb="FFFBC475"/>
      </right>
      <top style="thin">
        <color rgb="FFFBC475"/>
      </top>
      <bottom style="medium">
        <color rgb="FFCF3338"/>
      </bottom>
      <diagonal/>
    </border>
    <border>
      <left style="thin">
        <color rgb="FFFBC475"/>
      </left>
      <right/>
      <top style="medium">
        <color rgb="FFCF3338"/>
      </top>
      <bottom style="medium">
        <color rgb="FFCF3338"/>
      </bottom>
      <diagonal/>
    </border>
    <border>
      <left/>
      <right/>
      <top style="medium">
        <color rgb="FFCF3338"/>
      </top>
      <bottom style="medium">
        <color rgb="FFCF3338"/>
      </bottom>
      <diagonal/>
    </border>
    <border>
      <left/>
      <right style="thin">
        <color rgb="FFFBC475"/>
      </right>
      <top style="medium">
        <color rgb="FFCF3338"/>
      </top>
      <bottom style="medium">
        <color rgb="FFCF333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0" fillId="2" borderId="0" xfId="0" applyFill="1"/>
    <xf numFmtId="0" fontId="3" fillId="3" borderId="0" xfId="0" applyFont="1" applyFill="1"/>
    <xf numFmtId="0" fontId="4" fillId="2" borderId="0" xfId="0" applyFont="1" applyFill="1"/>
    <xf numFmtId="0" fontId="5" fillId="4" borderId="3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6" fillId="2" borderId="1" xfId="0" applyFont="1" applyFill="1" applyBorder="1"/>
    <xf numFmtId="3" fontId="6" fillId="2" borderId="0" xfId="0" applyNumberFormat="1" applyFont="1" applyFill="1" applyBorder="1"/>
    <xf numFmtId="0" fontId="5" fillId="5" borderId="6" xfId="0" applyFont="1" applyFill="1" applyBorder="1"/>
    <xf numFmtId="0" fontId="3" fillId="3" borderId="0" xfId="0" applyFont="1" applyFill="1" applyAlignment="1">
      <alignment vertical="center"/>
    </xf>
    <xf numFmtId="166" fontId="6" fillId="2" borderId="0" xfId="0" applyNumberFormat="1" applyFont="1" applyFill="1" applyBorder="1"/>
    <xf numFmtId="166" fontId="6" fillId="2" borderId="2" xfId="0" applyNumberFormat="1" applyFont="1" applyFill="1" applyBorder="1"/>
    <xf numFmtId="166" fontId="5" fillId="5" borderId="7" xfId="0" applyNumberFormat="1" applyFont="1" applyFill="1" applyBorder="1"/>
    <xf numFmtId="166" fontId="5" fillId="5" borderId="8" xfId="0" applyNumberFormat="1" applyFont="1" applyFill="1" applyBorder="1"/>
    <xf numFmtId="0" fontId="7" fillId="5" borderId="6" xfId="0" applyFont="1" applyFill="1" applyBorder="1"/>
    <xf numFmtId="3" fontId="7" fillId="5" borderId="7" xfId="0" applyNumberFormat="1" applyFont="1" applyFill="1" applyBorder="1"/>
    <xf numFmtId="166" fontId="7" fillId="5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3D3935"/>
                </a:solidFill>
                <a:latin typeface="Calibri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A426"/>
            </a:solidFill>
            <a:ln w="0">
              <a:noFill/>
            </a:ln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Summary!$F$5:$F$8</c:f>
              <c:numCache>
                <c:formatCode>"$"#,##0</c:formatCode>
                <c:ptCount val="4"/>
                <c:pt idx="0">
                  <c:v>322657</c:v>
                </c:pt>
                <c:pt idx="1">
                  <c:v>266744</c:v>
                </c:pt>
                <c:pt idx="2">
                  <c:v>248133</c:v>
                </c:pt>
                <c:pt idx="3">
                  <c:v>375158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5-444B-B746-E264C017D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739"/>
        <c:axId val="33671200"/>
      </c:barChart>
      <c:catAx>
        <c:axId val="5032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FBC475"/>
            </a:solidFill>
            <a:prstDash val="solid"/>
          </a:ln>
        </c:spPr>
        <c:txPr>
          <a:bodyPr rot="2700000" vert="horz"/>
          <a:lstStyle/>
          <a:p>
            <a:pPr>
              <a:defRPr sz="1000" b="0" strike="noStrike" spc="-1">
                <a:solidFill>
                  <a:srgbClr val="BBBAB8"/>
                </a:solidFill>
                <a:latin typeface="Calibri"/>
              </a:defRPr>
            </a:pPr>
            <a:endParaRPr lang="en-US"/>
          </a:p>
        </c:txPr>
        <c:crossAx val="33671200"/>
        <c:crosses val="autoZero"/>
        <c:auto val="1"/>
        <c:lblAlgn val="ctr"/>
        <c:lblOffset val="100"/>
        <c:noMultiLvlLbl val="0"/>
      </c:catAx>
      <c:valAx>
        <c:axId val="33671200"/>
        <c:scaling>
          <c:orientation val="minMax"/>
        </c:scaling>
        <c:delete val="0"/>
        <c:axPos val="l"/>
        <c:majorGridlines>
          <c:spPr>
            <a:ln w="9360">
              <a:solidFill>
                <a:srgbClr val="FBC47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 w="9360">
            <a:solidFill>
              <a:srgbClr val="FBC475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BBBAB8"/>
                </a:solidFill>
                <a:latin typeface="Calibri"/>
              </a:defRPr>
            </a:pPr>
            <a:endParaRPr lang="en-US"/>
          </a:p>
        </c:txPr>
        <c:crossAx val="50327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4</xdr:row>
      <xdr:rowOff>80962</xdr:rowOff>
    </xdr:from>
    <xdr:to>
      <xdr:col>13</xdr:col>
      <xdr:colOff>457200</xdr:colOff>
      <xdr:row>23</xdr:row>
      <xdr:rowOff>38100</xdr:rowOff>
    </xdr:to>
    <xdr:graphicFrame macro="">
      <xdr:nvGraphicFramePr>
        <xdr:cNvPr id="2" name="Revenue by Region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139084</xdr:colOff>
      <xdr:row>0</xdr:row>
      <xdr:rowOff>38100</xdr:rowOff>
    </xdr:from>
    <xdr:to>
      <xdr:col>13</xdr:col>
      <xdr:colOff>466724</xdr:colOff>
      <xdr:row>0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3538FA-95D4-70DD-2BDA-5BEF480C8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5084" y="38100"/>
          <a:ext cx="327640" cy="247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ales" displayName="Sales" ref="A1:F145" totalsRowShown="0">
  <autoFilter ref="A1:F145" xr:uid="{00000000-0009-0000-0100-000002000000}"/>
  <tableColumns count="6">
    <tableColumn id="1" xr3:uid="{00000000-0010-0000-0000-000001000000}" name="Date"/>
    <tableColumn id="2" xr3:uid="{00000000-0010-0000-0000-000002000000}" name="Region"/>
    <tableColumn id="3" xr3:uid="{00000000-0010-0000-0000-000003000000}" name="Product"/>
    <tableColumn id="4" xr3:uid="{00000000-0010-0000-0000-000004000000}" name="Units"/>
    <tableColumn id="5" xr3:uid="{00000000-0010-0000-0000-000005000000}" name="Revenue"/>
    <tableColumn id="6" xr3:uid="{00000000-0010-0000-0000-000006000000}" name="Quart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ices" displayName="Prices" ref="A1:B4" totalsRowShown="0">
  <autoFilter ref="A1:B4" xr:uid="{00000000-0009-0000-0100-000001000000}"/>
  <tableColumns count="2">
    <tableColumn id="1" xr3:uid="{00000000-0010-0000-0100-000001000000}" name="Product"/>
    <tableColumn id="2" xr3:uid="{00000000-0010-0000-0100-000002000000}" name="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zoomScaleNormal="100" workbookViewId="0">
      <selection activeCell="A5" sqref="A5"/>
    </sheetView>
  </sheetViews>
  <sheetFormatPr defaultColWidth="8.6640625" defaultRowHeight="14.25" x14ac:dyDescent="0.45"/>
  <cols>
    <col min="1" max="1" width="18.6640625" customWidth="1"/>
    <col min="2" max="2" width="12.06640625" customWidth="1"/>
    <col min="3" max="3" width="13.86328125" customWidth="1"/>
    <col min="4" max="5" width="12.06640625" customWidth="1"/>
    <col min="6" max="6" width="13.86328125" customWidth="1"/>
    <col min="7" max="7" width="2.46484375" customWidth="1"/>
    <col min="8" max="14" width="9.265625" customWidth="1"/>
  </cols>
  <sheetData>
    <row r="1" spans="1:23" ht="25.5" x14ac:dyDescent="0.75">
      <c r="A1" s="1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5"/>
      <c r="P1" s="5"/>
      <c r="Q1" s="5"/>
      <c r="R1" s="5"/>
      <c r="S1" s="5"/>
      <c r="T1" s="5"/>
      <c r="U1" s="5"/>
      <c r="V1" s="5"/>
      <c r="W1" s="5"/>
    </row>
    <row r="2" spans="1:23" x14ac:dyDescent="0.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45">
      <c r="A3" s="7" t="s">
        <v>1</v>
      </c>
      <c r="B3" s="7"/>
      <c r="C3" s="7"/>
      <c r="D3" s="7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65" thickBot="1" x14ac:dyDescent="0.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10" t="s">
        <v>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5">
      <c r="A5" s="11" t="s">
        <v>8</v>
      </c>
      <c r="B5" s="15">
        <f>SUMIFS(Sales[Revenue],Sales[Region],$A5,Sales[Quarter],B$4)</f>
        <v>69538</v>
      </c>
      <c r="C5" s="15">
        <f>SUMIFS(Sales[Revenue],Sales[Region],$A5,Sales[Quarter],C$4)</f>
        <v>74886</v>
      </c>
      <c r="D5" s="15">
        <f>SUMIFS(Sales[Revenue],Sales[Region],$A5,Sales[Quarter],D$4)</f>
        <v>87389</v>
      </c>
      <c r="E5" s="15">
        <f>SUMIFS(Sales[Revenue],Sales[Region],$A5,Sales[Quarter],E$4)</f>
        <v>90844</v>
      </c>
      <c r="F5" s="16">
        <f>SUM(B5:E5)</f>
        <v>322657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45">
      <c r="A6" s="11" t="s">
        <v>9</v>
      </c>
      <c r="B6" s="15">
        <f>SUMIFS(Sales[Revenue],Sales[Region],$A6,Sales[Quarter],B$4)</f>
        <v>56042</v>
      </c>
      <c r="C6" s="15">
        <f>SUMIFS(Sales[Revenue],Sales[Region],$A6,Sales[Quarter],C$4)</f>
        <v>62775</v>
      </c>
      <c r="D6" s="15">
        <f>SUMIFS(Sales[Revenue],Sales[Region],$A6,Sales[Quarter],D$4)</f>
        <v>71166</v>
      </c>
      <c r="E6" s="15">
        <f>SUMIFS(Sales[Revenue],Sales[Region],$A6,Sales[Quarter],E$4)</f>
        <v>76761</v>
      </c>
      <c r="F6" s="16">
        <f t="shared" ref="F6:F8" si="0">SUM(B6:E6)</f>
        <v>266744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45">
      <c r="A7" s="11" t="s">
        <v>10</v>
      </c>
      <c r="B7" s="15">
        <f>SUMIFS(Sales[Revenue],Sales[Region],$A7,Sales[Quarter],B$4)</f>
        <v>49483</v>
      </c>
      <c r="C7" s="15">
        <f>SUMIFS(Sales[Revenue],Sales[Region],$A7,Sales[Quarter],C$4)</f>
        <v>59976</v>
      </c>
      <c r="D7" s="15">
        <f>SUMIFS(Sales[Revenue],Sales[Region],$A7,Sales[Quarter],D$4)</f>
        <v>65914</v>
      </c>
      <c r="E7" s="15">
        <f>SUMIFS(Sales[Revenue],Sales[Region],$A7,Sales[Quarter],E$4)</f>
        <v>72760</v>
      </c>
      <c r="F7" s="16">
        <f t="shared" si="0"/>
        <v>248133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65" thickBot="1" x14ac:dyDescent="0.5">
      <c r="A8" s="11" t="s">
        <v>11</v>
      </c>
      <c r="B8" s="15">
        <f>SUMIFS(Sales[Revenue],Sales[Region],$A8,Sales[Quarter],B$4)</f>
        <v>78042</v>
      </c>
      <c r="C8" s="15">
        <f>SUMIFS(Sales[Revenue],Sales[Region],$A8,Sales[Quarter],C$4)</f>
        <v>94778</v>
      </c>
      <c r="D8" s="15">
        <f>SUMIFS(Sales[Revenue],Sales[Region],$A8,Sales[Quarter],D$4)</f>
        <v>96288</v>
      </c>
      <c r="E8" s="15">
        <f>SUMIFS(Sales[Revenue],Sales[Region],$A8,Sales[Quarter],E$4)</f>
        <v>106050</v>
      </c>
      <c r="F8" s="16">
        <f t="shared" si="0"/>
        <v>375158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65" thickBot="1" x14ac:dyDescent="0.5">
      <c r="A9" s="13" t="s">
        <v>7</v>
      </c>
      <c r="B9" s="17">
        <f>SUM(B5:B8)</f>
        <v>253105</v>
      </c>
      <c r="C9" s="17">
        <f t="shared" ref="C9:F9" si="1">SUM(C5:C8)</f>
        <v>292415</v>
      </c>
      <c r="D9" s="17">
        <f t="shared" si="1"/>
        <v>320757</v>
      </c>
      <c r="E9" s="17">
        <f t="shared" si="1"/>
        <v>346415</v>
      </c>
      <c r="F9" s="18">
        <f t="shared" si="1"/>
        <v>1212692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4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45">
      <c r="A11" s="7" t="s">
        <v>12</v>
      </c>
      <c r="B11" s="7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65" thickBot="1" x14ac:dyDescent="0.5">
      <c r="A12" s="8" t="s">
        <v>13</v>
      </c>
      <c r="B12" s="9" t="s">
        <v>14</v>
      </c>
      <c r="C12" s="10" t="s">
        <v>15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45">
      <c r="A13" s="11" t="s">
        <v>16</v>
      </c>
      <c r="B13" s="12">
        <f>SUMIFS(Sales[Units],Sales[Product],$A13)</f>
        <v>7523</v>
      </c>
      <c r="C13" s="16">
        <f>SUMIFS(Sales[Revenue],Sales[Product],$A13)</f>
        <v>368627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45">
      <c r="A14" s="11" t="s">
        <v>17</v>
      </c>
      <c r="B14" s="12">
        <f>SUMIFS(Sales[Units],Sales[Product],$A14)</f>
        <v>3679</v>
      </c>
      <c r="C14" s="16">
        <f>SUMIFS(Sales[Revenue],Sales[Product],$A14)</f>
        <v>474591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65" thickBot="1" x14ac:dyDescent="0.5">
      <c r="A15" s="11" t="s">
        <v>18</v>
      </c>
      <c r="B15" s="12">
        <f>SUMIFS(Sales[Units],Sales[Product],$A15)</f>
        <v>926</v>
      </c>
      <c r="C15" s="16">
        <f>SUMIFS(Sales[Revenue],Sales[Product],$A15)</f>
        <v>369474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65" thickBot="1" x14ac:dyDescent="0.5">
      <c r="A16" s="19" t="s">
        <v>7</v>
      </c>
      <c r="B16" s="20">
        <f>SUM(B13:B15)</f>
        <v>12128</v>
      </c>
      <c r="C16" s="21">
        <f>SUM(C13:C15)</f>
        <v>1212692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4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4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4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4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4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4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4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4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4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4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4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4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4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4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4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6640625" defaultRowHeight="14.25" x14ac:dyDescent="0.45"/>
  <cols>
    <col min="1" max="2" width="12" customWidth="1"/>
    <col min="3" max="3" width="16" customWidth="1"/>
    <col min="4" max="4" width="8" customWidth="1"/>
    <col min="5" max="5" width="12" customWidth="1"/>
    <col min="6" max="6" width="9" customWidth="1"/>
  </cols>
  <sheetData>
    <row r="1" spans="1:6" x14ac:dyDescent="0.45">
      <c r="A1" s="1" t="s">
        <v>19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20</v>
      </c>
    </row>
    <row r="2" spans="1:6" x14ac:dyDescent="0.45">
      <c r="A2" s="4">
        <v>45672</v>
      </c>
      <c r="B2" s="2" t="s">
        <v>8</v>
      </c>
      <c r="C2" s="2" t="s">
        <v>16</v>
      </c>
      <c r="D2" s="2">
        <v>134</v>
      </c>
      <c r="E2" s="3">
        <f>Sales[[#This Row],[Units]]*_xlfn.XLOOKUP(Sales[[#This Row],[Product]],Prices[Product],Prices[Price])</f>
        <v>6566</v>
      </c>
      <c r="F2" s="2" t="str">
        <f>"Q"&amp;ROUNDUP(MONTH(Sales[[#This Row],[Date]])/3,0)</f>
        <v>Q1</v>
      </c>
    </row>
    <row r="3" spans="1:6" x14ac:dyDescent="0.45">
      <c r="A3" s="4">
        <v>45672</v>
      </c>
      <c r="B3" s="2" t="s">
        <v>8</v>
      </c>
      <c r="C3" s="2" t="s">
        <v>17</v>
      </c>
      <c r="D3" s="2">
        <v>67</v>
      </c>
      <c r="E3" s="3">
        <f>Sales[[#This Row],[Units]]*_xlfn.XLOOKUP(Sales[[#This Row],[Product]],Prices[Product],Prices[Price])</f>
        <v>8643</v>
      </c>
      <c r="F3" s="2" t="str">
        <f>"Q"&amp;ROUNDUP(MONTH(Sales[[#This Row],[Date]])/3,0)</f>
        <v>Q1</v>
      </c>
    </row>
    <row r="4" spans="1:6" x14ac:dyDescent="0.45">
      <c r="A4" s="4">
        <v>45672</v>
      </c>
      <c r="B4" s="2" t="s">
        <v>8</v>
      </c>
      <c r="C4" s="2" t="s">
        <v>18</v>
      </c>
      <c r="D4" s="2">
        <v>16</v>
      </c>
      <c r="E4" s="3">
        <f>Sales[[#This Row],[Units]]*_xlfn.XLOOKUP(Sales[[#This Row],[Product]],Prices[Product],Prices[Price])</f>
        <v>6384</v>
      </c>
      <c r="F4" s="2" t="str">
        <f>"Q"&amp;ROUNDUP(MONTH(Sales[[#This Row],[Date]])/3,0)</f>
        <v>Q1</v>
      </c>
    </row>
    <row r="5" spans="1:6" x14ac:dyDescent="0.45">
      <c r="A5" s="4">
        <v>45672</v>
      </c>
      <c r="B5" s="2" t="s">
        <v>9</v>
      </c>
      <c r="C5" s="2" t="s">
        <v>16</v>
      </c>
      <c r="D5" s="2">
        <v>124</v>
      </c>
      <c r="E5" s="3">
        <f>Sales[[#This Row],[Units]]*_xlfn.XLOOKUP(Sales[[#This Row],[Product]],Prices[Product],Prices[Price])</f>
        <v>6076</v>
      </c>
      <c r="F5" s="2" t="str">
        <f>"Q"&amp;ROUNDUP(MONTH(Sales[[#This Row],[Date]])/3,0)</f>
        <v>Q1</v>
      </c>
    </row>
    <row r="6" spans="1:6" x14ac:dyDescent="0.45">
      <c r="A6" s="4">
        <v>45672</v>
      </c>
      <c r="B6" s="2" t="s">
        <v>9</v>
      </c>
      <c r="C6" s="2" t="s">
        <v>17</v>
      </c>
      <c r="D6" s="2">
        <v>55</v>
      </c>
      <c r="E6" s="3">
        <f>Sales[[#This Row],[Units]]*_xlfn.XLOOKUP(Sales[[#This Row],[Product]],Prices[Product],Prices[Price])</f>
        <v>7095</v>
      </c>
      <c r="F6" s="2" t="str">
        <f>"Q"&amp;ROUNDUP(MONTH(Sales[[#This Row],[Date]])/3,0)</f>
        <v>Q1</v>
      </c>
    </row>
    <row r="7" spans="1:6" x14ac:dyDescent="0.45">
      <c r="A7" s="4">
        <v>45672</v>
      </c>
      <c r="B7" s="2" t="s">
        <v>9</v>
      </c>
      <c r="C7" s="2" t="s">
        <v>18</v>
      </c>
      <c r="D7" s="2">
        <v>10</v>
      </c>
      <c r="E7" s="3">
        <f>Sales[[#This Row],[Units]]*_xlfn.XLOOKUP(Sales[[#This Row],[Product]],Prices[Product],Prices[Price])</f>
        <v>3990</v>
      </c>
      <c r="F7" s="2" t="str">
        <f>"Q"&amp;ROUNDUP(MONTH(Sales[[#This Row],[Date]])/3,0)</f>
        <v>Q1</v>
      </c>
    </row>
    <row r="8" spans="1:6" x14ac:dyDescent="0.45">
      <c r="A8" s="4">
        <v>45672</v>
      </c>
      <c r="B8" s="2" t="s">
        <v>10</v>
      </c>
      <c r="C8" s="2" t="s">
        <v>16</v>
      </c>
      <c r="D8" s="2">
        <v>112</v>
      </c>
      <c r="E8" s="3">
        <f>Sales[[#This Row],[Units]]*_xlfn.XLOOKUP(Sales[[#This Row],[Product]],Prices[Product],Prices[Price])</f>
        <v>5488</v>
      </c>
      <c r="F8" s="2" t="str">
        <f>"Q"&amp;ROUNDUP(MONTH(Sales[[#This Row],[Date]])/3,0)</f>
        <v>Q1</v>
      </c>
    </row>
    <row r="9" spans="1:6" x14ac:dyDescent="0.45">
      <c r="A9" s="4">
        <v>45672</v>
      </c>
      <c r="B9" s="2" t="s">
        <v>10</v>
      </c>
      <c r="C9" s="2" t="s">
        <v>17</v>
      </c>
      <c r="D9" s="2">
        <v>50</v>
      </c>
      <c r="E9" s="3">
        <f>Sales[[#This Row],[Units]]*_xlfn.XLOOKUP(Sales[[#This Row],[Product]],Prices[Product],Prices[Price])</f>
        <v>6450</v>
      </c>
      <c r="F9" s="2" t="str">
        <f>"Q"&amp;ROUNDUP(MONTH(Sales[[#This Row],[Date]])/3,0)</f>
        <v>Q1</v>
      </c>
    </row>
    <row r="10" spans="1:6" x14ac:dyDescent="0.45">
      <c r="A10" s="4">
        <v>45672</v>
      </c>
      <c r="B10" s="2" t="s">
        <v>10</v>
      </c>
      <c r="C10" s="2" t="s">
        <v>18</v>
      </c>
      <c r="D10" s="2">
        <v>12</v>
      </c>
      <c r="E10" s="3">
        <f>Sales[[#This Row],[Units]]*_xlfn.XLOOKUP(Sales[[#This Row],[Product]],Prices[Product],Prices[Price])</f>
        <v>4788</v>
      </c>
      <c r="F10" s="2" t="str">
        <f>"Q"&amp;ROUNDUP(MONTH(Sales[[#This Row],[Date]])/3,0)</f>
        <v>Q1</v>
      </c>
    </row>
    <row r="11" spans="1:6" x14ac:dyDescent="0.45">
      <c r="A11" s="4">
        <v>45672</v>
      </c>
      <c r="B11" s="2" t="s">
        <v>11</v>
      </c>
      <c r="C11" s="2" t="s">
        <v>16</v>
      </c>
      <c r="D11" s="2">
        <v>158</v>
      </c>
      <c r="E11" s="3">
        <f>Sales[[#This Row],[Units]]*_xlfn.XLOOKUP(Sales[[#This Row],[Product]],Prices[Product],Prices[Price])</f>
        <v>7742</v>
      </c>
      <c r="F11" s="2" t="str">
        <f>"Q"&amp;ROUNDUP(MONTH(Sales[[#This Row],[Date]])/3,0)</f>
        <v>Q1</v>
      </c>
    </row>
    <row r="12" spans="1:6" x14ac:dyDescent="0.45">
      <c r="A12" s="4">
        <v>45672</v>
      </c>
      <c r="B12" s="2" t="s">
        <v>11</v>
      </c>
      <c r="C12" s="2" t="s">
        <v>17</v>
      </c>
      <c r="D12" s="2">
        <v>80</v>
      </c>
      <c r="E12" s="3">
        <f>Sales[[#This Row],[Units]]*_xlfn.XLOOKUP(Sales[[#This Row],[Product]],Prices[Product],Prices[Price])</f>
        <v>10320</v>
      </c>
      <c r="F12" s="2" t="str">
        <f>"Q"&amp;ROUNDUP(MONTH(Sales[[#This Row],[Date]])/3,0)</f>
        <v>Q1</v>
      </c>
    </row>
    <row r="13" spans="1:6" x14ac:dyDescent="0.45">
      <c r="A13" s="4">
        <v>45672</v>
      </c>
      <c r="B13" s="2" t="s">
        <v>11</v>
      </c>
      <c r="C13" s="2" t="s">
        <v>18</v>
      </c>
      <c r="D13" s="2">
        <v>22</v>
      </c>
      <c r="E13" s="3">
        <f>Sales[[#This Row],[Units]]*_xlfn.XLOOKUP(Sales[[#This Row],[Product]],Prices[Product],Prices[Price])</f>
        <v>8778</v>
      </c>
      <c r="F13" s="2" t="str">
        <f>"Q"&amp;ROUNDUP(MONTH(Sales[[#This Row],[Date]])/3,0)</f>
        <v>Q1</v>
      </c>
    </row>
    <row r="14" spans="1:6" x14ac:dyDescent="0.45">
      <c r="A14" s="4">
        <v>45703</v>
      </c>
      <c r="B14" s="2" t="s">
        <v>8</v>
      </c>
      <c r="C14" s="2" t="s">
        <v>16</v>
      </c>
      <c r="D14" s="2">
        <v>154</v>
      </c>
      <c r="E14" s="3">
        <f>Sales[[#This Row],[Units]]*_xlfn.XLOOKUP(Sales[[#This Row],[Product]],Prices[Product],Prices[Price])</f>
        <v>7546</v>
      </c>
      <c r="F14" s="2" t="str">
        <f>"Q"&amp;ROUNDUP(MONTH(Sales[[#This Row],[Date]])/3,0)</f>
        <v>Q1</v>
      </c>
    </row>
    <row r="15" spans="1:6" x14ac:dyDescent="0.45">
      <c r="A15" s="4">
        <v>45703</v>
      </c>
      <c r="B15" s="2" t="s">
        <v>8</v>
      </c>
      <c r="C15" s="2" t="s">
        <v>17</v>
      </c>
      <c r="D15" s="2">
        <v>72</v>
      </c>
      <c r="E15" s="3">
        <f>Sales[[#This Row],[Units]]*_xlfn.XLOOKUP(Sales[[#This Row],[Product]],Prices[Product],Prices[Price])</f>
        <v>9288</v>
      </c>
      <c r="F15" s="2" t="str">
        <f>"Q"&amp;ROUNDUP(MONTH(Sales[[#This Row],[Date]])/3,0)</f>
        <v>Q1</v>
      </c>
    </row>
    <row r="16" spans="1:6" x14ac:dyDescent="0.45">
      <c r="A16" s="4">
        <v>45703</v>
      </c>
      <c r="B16" s="2" t="s">
        <v>8</v>
      </c>
      <c r="C16" s="2" t="s">
        <v>18</v>
      </c>
      <c r="D16" s="2">
        <v>16</v>
      </c>
      <c r="E16" s="3">
        <f>Sales[[#This Row],[Units]]*_xlfn.XLOOKUP(Sales[[#This Row],[Product]],Prices[Product],Prices[Price])</f>
        <v>6384</v>
      </c>
      <c r="F16" s="2" t="str">
        <f>"Q"&amp;ROUNDUP(MONTH(Sales[[#This Row],[Date]])/3,0)</f>
        <v>Q1</v>
      </c>
    </row>
    <row r="17" spans="1:6" x14ac:dyDescent="0.45">
      <c r="A17" s="4">
        <v>45703</v>
      </c>
      <c r="B17" s="2" t="s">
        <v>9</v>
      </c>
      <c r="C17" s="2" t="s">
        <v>16</v>
      </c>
      <c r="D17" s="2">
        <v>98</v>
      </c>
      <c r="E17" s="3">
        <f>Sales[[#This Row],[Units]]*_xlfn.XLOOKUP(Sales[[#This Row],[Product]],Prices[Product],Prices[Price])</f>
        <v>4802</v>
      </c>
      <c r="F17" s="2" t="str">
        <f>"Q"&amp;ROUNDUP(MONTH(Sales[[#This Row],[Date]])/3,0)</f>
        <v>Q1</v>
      </c>
    </row>
    <row r="18" spans="1:6" x14ac:dyDescent="0.45">
      <c r="A18" s="4">
        <v>45703</v>
      </c>
      <c r="B18" s="2" t="s">
        <v>9</v>
      </c>
      <c r="C18" s="2" t="s">
        <v>17</v>
      </c>
      <c r="D18" s="2">
        <v>60</v>
      </c>
      <c r="E18" s="3">
        <f>Sales[[#This Row],[Units]]*_xlfn.XLOOKUP(Sales[[#This Row],[Product]],Prices[Product],Prices[Price])</f>
        <v>7740</v>
      </c>
      <c r="F18" s="2" t="str">
        <f>"Q"&amp;ROUNDUP(MONTH(Sales[[#This Row],[Date]])/3,0)</f>
        <v>Q1</v>
      </c>
    </row>
    <row r="19" spans="1:6" x14ac:dyDescent="0.45">
      <c r="A19" s="4">
        <v>45703</v>
      </c>
      <c r="B19" s="2" t="s">
        <v>9</v>
      </c>
      <c r="C19" s="2" t="s">
        <v>18</v>
      </c>
      <c r="D19" s="2">
        <v>17</v>
      </c>
      <c r="E19" s="3">
        <f>Sales[[#This Row],[Units]]*_xlfn.XLOOKUP(Sales[[#This Row],[Product]],Prices[Product],Prices[Price])</f>
        <v>6783</v>
      </c>
      <c r="F19" s="2" t="str">
        <f>"Q"&amp;ROUNDUP(MONTH(Sales[[#This Row],[Date]])/3,0)</f>
        <v>Q1</v>
      </c>
    </row>
    <row r="20" spans="1:6" x14ac:dyDescent="0.45">
      <c r="A20" s="4">
        <v>45703</v>
      </c>
      <c r="B20" s="2" t="s">
        <v>10</v>
      </c>
      <c r="C20" s="2" t="s">
        <v>16</v>
      </c>
      <c r="D20" s="2">
        <v>110</v>
      </c>
      <c r="E20" s="3">
        <f>Sales[[#This Row],[Units]]*_xlfn.XLOOKUP(Sales[[#This Row],[Product]],Prices[Product],Prices[Price])</f>
        <v>5390</v>
      </c>
      <c r="F20" s="2" t="str">
        <f>"Q"&amp;ROUNDUP(MONTH(Sales[[#This Row],[Date]])/3,0)</f>
        <v>Q1</v>
      </c>
    </row>
    <row r="21" spans="1:6" x14ac:dyDescent="0.45">
      <c r="A21" s="4">
        <v>45703</v>
      </c>
      <c r="B21" s="2" t="s">
        <v>10</v>
      </c>
      <c r="C21" s="2" t="s">
        <v>17</v>
      </c>
      <c r="D21" s="2">
        <v>54</v>
      </c>
      <c r="E21" s="3">
        <f>Sales[[#This Row],[Units]]*_xlfn.XLOOKUP(Sales[[#This Row],[Product]],Prices[Product],Prices[Price])</f>
        <v>6966</v>
      </c>
      <c r="F21" s="2" t="str">
        <f>"Q"&amp;ROUNDUP(MONTH(Sales[[#This Row],[Date]])/3,0)</f>
        <v>Q1</v>
      </c>
    </row>
    <row r="22" spans="1:6" x14ac:dyDescent="0.45">
      <c r="A22" s="4">
        <v>45703</v>
      </c>
      <c r="B22" s="2" t="s">
        <v>10</v>
      </c>
      <c r="C22" s="2" t="s">
        <v>18</v>
      </c>
      <c r="D22" s="2">
        <v>14</v>
      </c>
      <c r="E22" s="3">
        <f>Sales[[#This Row],[Units]]*_xlfn.XLOOKUP(Sales[[#This Row],[Product]],Prices[Product],Prices[Price])</f>
        <v>5586</v>
      </c>
      <c r="F22" s="2" t="str">
        <f>"Q"&amp;ROUNDUP(MONTH(Sales[[#This Row],[Date]])/3,0)</f>
        <v>Q1</v>
      </c>
    </row>
    <row r="23" spans="1:6" x14ac:dyDescent="0.45">
      <c r="A23" s="4">
        <v>45703</v>
      </c>
      <c r="B23" s="2" t="s">
        <v>11</v>
      </c>
      <c r="C23" s="2" t="s">
        <v>16</v>
      </c>
      <c r="D23" s="2">
        <v>135</v>
      </c>
      <c r="E23" s="3">
        <f>Sales[[#This Row],[Units]]*_xlfn.XLOOKUP(Sales[[#This Row],[Product]],Prices[Product],Prices[Price])</f>
        <v>6615</v>
      </c>
      <c r="F23" s="2" t="str">
        <f>"Q"&amp;ROUNDUP(MONTH(Sales[[#This Row],[Date]])/3,0)</f>
        <v>Q1</v>
      </c>
    </row>
    <row r="24" spans="1:6" x14ac:dyDescent="0.45">
      <c r="A24" s="4">
        <v>45703</v>
      </c>
      <c r="B24" s="2" t="s">
        <v>11</v>
      </c>
      <c r="C24" s="2" t="s">
        <v>17</v>
      </c>
      <c r="D24" s="2">
        <v>78</v>
      </c>
      <c r="E24" s="3">
        <f>Sales[[#This Row],[Units]]*_xlfn.XLOOKUP(Sales[[#This Row],[Product]],Prices[Product],Prices[Price])</f>
        <v>10062</v>
      </c>
      <c r="F24" s="2" t="str">
        <f>"Q"&amp;ROUNDUP(MONTH(Sales[[#This Row],[Date]])/3,0)</f>
        <v>Q1</v>
      </c>
    </row>
    <row r="25" spans="1:6" x14ac:dyDescent="0.45">
      <c r="A25" s="4">
        <v>45703</v>
      </c>
      <c r="B25" s="2" t="s">
        <v>11</v>
      </c>
      <c r="C25" s="2" t="s">
        <v>18</v>
      </c>
      <c r="D25" s="2">
        <v>21</v>
      </c>
      <c r="E25" s="3">
        <f>Sales[[#This Row],[Units]]*_xlfn.XLOOKUP(Sales[[#This Row],[Product]],Prices[Product],Prices[Price])</f>
        <v>8379</v>
      </c>
      <c r="F25" s="2" t="str">
        <f>"Q"&amp;ROUNDUP(MONTH(Sales[[#This Row],[Date]])/3,0)</f>
        <v>Q1</v>
      </c>
    </row>
    <row r="26" spans="1:6" x14ac:dyDescent="0.45">
      <c r="A26" s="4">
        <v>45731</v>
      </c>
      <c r="B26" s="2" t="s">
        <v>8</v>
      </c>
      <c r="C26" s="2" t="s">
        <v>16</v>
      </c>
      <c r="D26" s="2">
        <v>163</v>
      </c>
      <c r="E26" s="3">
        <f>Sales[[#This Row],[Units]]*_xlfn.XLOOKUP(Sales[[#This Row],[Product]],Prices[Product],Prices[Price])</f>
        <v>7987</v>
      </c>
      <c r="F26" s="2" t="str">
        <f>"Q"&amp;ROUNDUP(MONTH(Sales[[#This Row],[Date]])/3,0)</f>
        <v>Q1</v>
      </c>
    </row>
    <row r="27" spans="1:6" x14ac:dyDescent="0.45">
      <c r="A27" s="4">
        <v>45731</v>
      </c>
      <c r="B27" s="2" t="s">
        <v>8</v>
      </c>
      <c r="C27" s="2" t="s">
        <v>17</v>
      </c>
      <c r="D27" s="2">
        <v>71</v>
      </c>
      <c r="E27" s="3">
        <f>Sales[[#This Row],[Units]]*_xlfn.XLOOKUP(Sales[[#This Row],[Product]],Prices[Product],Prices[Price])</f>
        <v>9159</v>
      </c>
      <c r="F27" s="2" t="str">
        <f>"Q"&amp;ROUNDUP(MONTH(Sales[[#This Row],[Date]])/3,0)</f>
        <v>Q1</v>
      </c>
    </row>
    <row r="28" spans="1:6" x14ac:dyDescent="0.45">
      <c r="A28" s="4">
        <v>45731</v>
      </c>
      <c r="B28" s="2" t="s">
        <v>8</v>
      </c>
      <c r="C28" s="2" t="s">
        <v>18</v>
      </c>
      <c r="D28" s="2">
        <v>19</v>
      </c>
      <c r="E28" s="3">
        <f>Sales[[#This Row],[Units]]*_xlfn.XLOOKUP(Sales[[#This Row],[Product]],Prices[Product],Prices[Price])</f>
        <v>7581</v>
      </c>
      <c r="F28" s="2" t="str">
        <f>"Q"&amp;ROUNDUP(MONTH(Sales[[#This Row],[Date]])/3,0)</f>
        <v>Q1</v>
      </c>
    </row>
    <row r="29" spans="1:6" x14ac:dyDescent="0.45">
      <c r="A29" s="4">
        <v>45731</v>
      </c>
      <c r="B29" s="2" t="s">
        <v>9</v>
      </c>
      <c r="C29" s="2" t="s">
        <v>16</v>
      </c>
      <c r="D29" s="2">
        <v>125</v>
      </c>
      <c r="E29" s="3">
        <f>Sales[[#This Row],[Units]]*_xlfn.XLOOKUP(Sales[[#This Row],[Product]],Prices[Product],Prices[Price])</f>
        <v>6125</v>
      </c>
      <c r="F29" s="2" t="str">
        <f>"Q"&amp;ROUNDUP(MONTH(Sales[[#This Row],[Date]])/3,0)</f>
        <v>Q1</v>
      </c>
    </row>
    <row r="30" spans="1:6" x14ac:dyDescent="0.45">
      <c r="A30" s="4">
        <v>45731</v>
      </c>
      <c r="B30" s="2" t="s">
        <v>9</v>
      </c>
      <c r="C30" s="2" t="s">
        <v>17</v>
      </c>
      <c r="D30" s="2">
        <v>67</v>
      </c>
      <c r="E30" s="3">
        <f>Sales[[#This Row],[Units]]*_xlfn.XLOOKUP(Sales[[#This Row],[Product]],Prices[Product],Prices[Price])</f>
        <v>8643</v>
      </c>
      <c r="F30" s="2" t="str">
        <f>"Q"&amp;ROUNDUP(MONTH(Sales[[#This Row],[Date]])/3,0)</f>
        <v>Q1</v>
      </c>
    </row>
    <row r="31" spans="1:6" x14ac:dyDescent="0.45">
      <c r="A31" s="4">
        <v>45731</v>
      </c>
      <c r="B31" s="2" t="s">
        <v>9</v>
      </c>
      <c r="C31" s="2" t="s">
        <v>18</v>
      </c>
      <c r="D31" s="2">
        <v>12</v>
      </c>
      <c r="E31" s="3">
        <f>Sales[[#This Row],[Units]]*_xlfn.XLOOKUP(Sales[[#This Row],[Product]],Prices[Product],Prices[Price])</f>
        <v>4788</v>
      </c>
      <c r="F31" s="2" t="str">
        <f>"Q"&amp;ROUNDUP(MONTH(Sales[[#This Row],[Date]])/3,0)</f>
        <v>Q1</v>
      </c>
    </row>
    <row r="32" spans="1:6" x14ac:dyDescent="0.45">
      <c r="A32" s="4">
        <v>45731</v>
      </c>
      <c r="B32" s="2" t="s">
        <v>10</v>
      </c>
      <c r="C32" s="2" t="s">
        <v>16</v>
      </c>
      <c r="D32" s="2">
        <v>124</v>
      </c>
      <c r="E32" s="3">
        <f>Sales[[#This Row],[Units]]*_xlfn.XLOOKUP(Sales[[#This Row],[Product]],Prices[Product],Prices[Price])</f>
        <v>6076</v>
      </c>
      <c r="F32" s="2" t="str">
        <f>"Q"&amp;ROUNDUP(MONTH(Sales[[#This Row],[Date]])/3,0)</f>
        <v>Q1</v>
      </c>
    </row>
    <row r="33" spans="1:6" x14ac:dyDescent="0.45">
      <c r="A33" s="4">
        <v>45731</v>
      </c>
      <c r="B33" s="2" t="s">
        <v>10</v>
      </c>
      <c r="C33" s="2" t="s">
        <v>17</v>
      </c>
      <c r="D33" s="2">
        <v>43</v>
      </c>
      <c r="E33" s="3">
        <f>Sales[[#This Row],[Units]]*_xlfn.XLOOKUP(Sales[[#This Row],[Product]],Prices[Product],Prices[Price])</f>
        <v>5547</v>
      </c>
      <c r="F33" s="2" t="str">
        <f>"Q"&amp;ROUNDUP(MONTH(Sales[[#This Row],[Date]])/3,0)</f>
        <v>Q1</v>
      </c>
    </row>
    <row r="34" spans="1:6" x14ac:dyDescent="0.45">
      <c r="A34" s="4">
        <v>45731</v>
      </c>
      <c r="B34" s="2" t="s">
        <v>10</v>
      </c>
      <c r="C34" s="2" t="s">
        <v>18</v>
      </c>
      <c r="D34" s="2">
        <v>8</v>
      </c>
      <c r="E34" s="3">
        <f>Sales[[#This Row],[Units]]*_xlfn.XLOOKUP(Sales[[#This Row],[Product]],Prices[Product],Prices[Price])</f>
        <v>3192</v>
      </c>
      <c r="F34" s="2" t="str">
        <f>"Q"&amp;ROUNDUP(MONTH(Sales[[#This Row],[Date]])/3,0)</f>
        <v>Q1</v>
      </c>
    </row>
    <row r="35" spans="1:6" x14ac:dyDescent="0.45">
      <c r="A35" s="4">
        <v>45731</v>
      </c>
      <c r="B35" s="2" t="s">
        <v>11</v>
      </c>
      <c r="C35" s="2" t="s">
        <v>16</v>
      </c>
      <c r="D35" s="2">
        <v>157</v>
      </c>
      <c r="E35" s="3">
        <f>Sales[[#This Row],[Units]]*_xlfn.XLOOKUP(Sales[[#This Row],[Product]],Prices[Product],Prices[Price])</f>
        <v>7693</v>
      </c>
      <c r="F35" s="2" t="str">
        <f>"Q"&amp;ROUNDUP(MONTH(Sales[[#This Row],[Date]])/3,0)</f>
        <v>Q1</v>
      </c>
    </row>
    <row r="36" spans="1:6" x14ac:dyDescent="0.45">
      <c r="A36" s="4">
        <v>45731</v>
      </c>
      <c r="B36" s="2" t="s">
        <v>11</v>
      </c>
      <c r="C36" s="2" t="s">
        <v>17</v>
      </c>
      <c r="D36" s="2">
        <v>75</v>
      </c>
      <c r="E36" s="3">
        <f>Sales[[#This Row],[Units]]*_xlfn.XLOOKUP(Sales[[#This Row],[Product]],Prices[Product],Prices[Price])</f>
        <v>9675</v>
      </c>
      <c r="F36" s="2" t="str">
        <f>"Q"&amp;ROUNDUP(MONTH(Sales[[#This Row],[Date]])/3,0)</f>
        <v>Q1</v>
      </c>
    </row>
    <row r="37" spans="1:6" x14ac:dyDescent="0.45">
      <c r="A37" s="4">
        <v>45731</v>
      </c>
      <c r="B37" s="2" t="s">
        <v>11</v>
      </c>
      <c r="C37" s="2" t="s">
        <v>18</v>
      </c>
      <c r="D37" s="2">
        <v>22</v>
      </c>
      <c r="E37" s="3">
        <f>Sales[[#This Row],[Units]]*_xlfn.XLOOKUP(Sales[[#This Row],[Product]],Prices[Product],Prices[Price])</f>
        <v>8778</v>
      </c>
      <c r="F37" s="2" t="str">
        <f>"Q"&amp;ROUNDUP(MONTH(Sales[[#This Row],[Date]])/3,0)</f>
        <v>Q1</v>
      </c>
    </row>
    <row r="38" spans="1:6" x14ac:dyDescent="0.45">
      <c r="A38" s="4">
        <v>45762</v>
      </c>
      <c r="B38" s="2" t="s">
        <v>8</v>
      </c>
      <c r="C38" s="2" t="s">
        <v>16</v>
      </c>
      <c r="D38" s="2">
        <v>165</v>
      </c>
      <c r="E38" s="3">
        <f>Sales[[#This Row],[Units]]*_xlfn.XLOOKUP(Sales[[#This Row],[Product]],Prices[Product],Prices[Price])</f>
        <v>8085</v>
      </c>
      <c r="F38" s="2" t="str">
        <f>"Q"&amp;ROUNDUP(MONTH(Sales[[#This Row],[Date]])/3,0)</f>
        <v>Q2</v>
      </c>
    </row>
    <row r="39" spans="1:6" x14ac:dyDescent="0.45">
      <c r="A39" s="4">
        <v>45762</v>
      </c>
      <c r="B39" s="2" t="s">
        <v>8</v>
      </c>
      <c r="C39" s="2" t="s">
        <v>17</v>
      </c>
      <c r="D39" s="2">
        <v>65</v>
      </c>
      <c r="E39" s="3">
        <f>Sales[[#This Row],[Units]]*_xlfn.XLOOKUP(Sales[[#This Row],[Product]],Prices[Product],Prices[Price])</f>
        <v>8385</v>
      </c>
      <c r="F39" s="2" t="str">
        <f>"Q"&amp;ROUNDUP(MONTH(Sales[[#This Row],[Date]])/3,0)</f>
        <v>Q2</v>
      </c>
    </row>
    <row r="40" spans="1:6" x14ac:dyDescent="0.45">
      <c r="A40" s="4">
        <v>45762</v>
      </c>
      <c r="B40" s="2" t="s">
        <v>8</v>
      </c>
      <c r="C40" s="2" t="s">
        <v>18</v>
      </c>
      <c r="D40" s="2">
        <v>21</v>
      </c>
      <c r="E40" s="3">
        <f>Sales[[#This Row],[Units]]*_xlfn.XLOOKUP(Sales[[#This Row],[Product]],Prices[Product],Prices[Price])</f>
        <v>8379</v>
      </c>
      <c r="F40" s="2" t="str">
        <f>"Q"&amp;ROUNDUP(MONTH(Sales[[#This Row],[Date]])/3,0)</f>
        <v>Q2</v>
      </c>
    </row>
    <row r="41" spans="1:6" x14ac:dyDescent="0.45">
      <c r="A41" s="4">
        <v>45762</v>
      </c>
      <c r="B41" s="2" t="s">
        <v>9</v>
      </c>
      <c r="C41" s="2" t="s">
        <v>16</v>
      </c>
      <c r="D41" s="2">
        <v>107</v>
      </c>
      <c r="E41" s="3">
        <f>Sales[[#This Row],[Units]]*_xlfn.XLOOKUP(Sales[[#This Row],[Product]],Prices[Product],Prices[Price])</f>
        <v>5243</v>
      </c>
      <c r="F41" s="2" t="str">
        <f>"Q"&amp;ROUNDUP(MONTH(Sales[[#This Row],[Date]])/3,0)</f>
        <v>Q2</v>
      </c>
    </row>
    <row r="42" spans="1:6" x14ac:dyDescent="0.45">
      <c r="A42" s="4">
        <v>45762</v>
      </c>
      <c r="B42" s="2" t="s">
        <v>9</v>
      </c>
      <c r="C42" s="2" t="s">
        <v>17</v>
      </c>
      <c r="D42" s="2">
        <v>61</v>
      </c>
      <c r="E42" s="3">
        <f>Sales[[#This Row],[Units]]*_xlfn.XLOOKUP(Sales[[#This Row],[Product]],Prices[Product],Prices[Price])</f>
        <v>7869</v>
      </c>
      <c r="F42" s="2" t="str">
        <f>"Q"&amp;ROUNDUP(MONTH(Sales[[#This Row],[Date]])/3,0)</f>
        <v>Q2</v>
      </c>
    </row>
    <row r="43" spans="1:6" x14ac:dyDescent="0.45">
      <c r="A43" s="4">
        <v>45762</v>
      </c>
      <c r="B43" s="2" t="s">
        <v>9</v>
      </c>
      <c r="C43" s="2" t="s">
        <v>18</v>
      </c>
      <c r="D43" s="2">
        <v>14</v>
      </c>
      <c r="E43" s="3">
        <f>Sales[[#This Row],[Units]]*_xlfn.XLOOKUP(Sales[[#This Row],[Product]],Prices[Product],Prices[Price])</f>
        <v>5586</v>
      </c>
      <c r="F43" s="2" t="str">
        <f>"Q"&amp;ROUNDUP(MONTH(Sales[[#This Row],[Date]])/3,0)</f>
        <v>Q2</v>
      </c>
    </row>
    <row r="44" spans="1:6" x14ac:dyDescent="0.45">
      <c r="A44" s="4">
        <v>45762</v>
      </c>
      <c r="B44" s="2" t="s">
        <v>10</v>
      </c>
      <c r="C44" s="2" t="s">
        <v>16</v>
      </c>
      <c r="D44" s="2">
        <v>120</v>
      </c>
      <c r="E44" s="3">
        <f>Sales[[#This Row],[Units]]*_xlfn.XLOOKUP(Sales[[#This Row],[Product]],Prices[Product],Prices[Price])</f>
        <v>5880</v>
      </c>
      <c r="F44" s="2" t="str">
        <f>"Q"&amp;ROUNDUP(MONTH(Sales[[#This Row],[Date]])/3,0)</f>
        <v>Q2</v>
      </c>
    </row>
    <row r="45" spans="1:6" x14ac:dyDescent="0.45">
      <c r="A45" s="4">
        <v>45762</v>
      </c>
      <c r="B45" s="2" t="s">
        <v>10</v>
      </c>
      <c r="C45" s="2" t="s">
        <v>17</v>
      </c>
      <c r="D45" s="2">
        <v>66</v>
      </c>
      <c r="E45" s="3">
        <f>Sales[[#This Row],[Units]]*_xlfn.XLOOKUP(Sales[[#This Row],[Product]],Prices[Product],Prices[Price])</f>
        <v>8514</v>
      </c>
      <c r="F45" s="2" t="str">
        <f>"Q"&amp;ROUNDUP(MONTH(Sales[[#This Row],[Date]])/3,0)</f>
        <v>Q2</v>
      </c>
    </row>
    <row r="46" spans="1:6" x14ac:dyDescent="0.45">
      <c r="A46" s="4">
        <v>45762</v>
      </c>
      <c r="B46" s="2" t="s">
        <v>10</v>
      </c>
      <c r="C46" s="2" t="s">
        <v>18</v>
      </c>
      <c r="D46" s="2">
        <v>16</v>
      </c>
      <c r="E46" s="3">
        <f>Sales[[#This Row],[Units]]*_xlfn.XLOOKUP(Sales[[#This Row],[Product]],Prices[Product],Prices[Price])</f>
        <v>6384</v>
      </c>
      <c r="F46" s="2" t="str">
        <f>"Q"&amp;ROUNDUP(MONTH(Sales[[#This Row],[Date]])/3,0)</f>
        <v>Q2</v>
      </c>
    </row>
    <row r="47" spans="1:6" x14ac:dyDescent="0.45">
      <c r="A47" s="4">
        <v>45762</v>
      </c>
      <c r="B47" s="2" t="s">
        <v>11</v>
      </c>
      <c r="C47" s="2" t="s">
        <v>16</v>
      </c>
      <c r="D47" s="2">
        <v>180</v>
      </c>
      <c r="E47" s="3">
        <f>Sales[[#This Row],[Units]]*_xlfn.XLOOKUP(Sales[[#This Row],[Product]],Prices[Product],Prices[Price])</f>
        <v>8820</v>
      </c>
      <c r="F47" s="2" t="str">
        <f>"Q"&amp;ROUNDUP(MONTH(Sales[[#This Row],[Date]])/3,0)</f>
        <v>Q2</v>
      </c>
    </row>
    <row r="48" spans="1:6" x14ac:dyDescent="0.45">
      <c r="A48" s="4">
        <v>45762</v>
      </c>
      <c r="B48" s="2" t="s">
        <v>11</v>
      </c>
      <c r="C48" s="2" t="s">
        <v>17</v>
      </c>
      <c r="D48" s="2">
        <v>92</v>
      </c>
      <c r="E48" s="3">
        <f>Sales[[#This Row],[Units]]*_xlfn.XLOOKUP(Sales[[#This Row],[Product]],Prices[Product],Prices[Price])</f>
        <v>11868</v>
      </c>
      <c r="F48" s="2" t="str">
        <f>"Q"&amp;ROUNDUP(MONTH(Sales[[#This Row],[Date]])/3,0)</f>
        <v>Q2</v>
      </c>
    </row>
    <row r="49" spans="1:6" x14ac:dyDescent="0.45">
      <c r="A49" s="4">
        <v>45762</v>
      </c>
      <c r="B49" s="2" t="s">
        <v>11</v>
      </c>
      <c r="C49" s="2" t="s">
        <v>18</v>
      </c>
      <c r="D49" s="2">
        <v>22</v>
      </c>
      <c r="E49" s="3">
        <f>Sales[[#This Row],[Units]]*_xlfn.XLOOKUP(Sales[[#This Row],[Product]],Prices[Product],Prices[Price])</f>
        <v>8778</v>
      </c>
      <c r="F49" s="2" t="str">
        <f>"Q"&amp;ROUNDUP(MONTH(Sales[[#This Row],[Date]])/3,0)</f>
        <v>Q2</v>
      </c>
    </row>
    <row r="50" spans="1:6" x14ac:dyDescent="0.45">
      <c r="A50" s="4">
        <v>45792</v>
      </c>
      <c r="B50" s="2" t="s">
        <v>8</v>
      </c>
      <c r="C50" s="2" t="s">
        <v>16</v>
      </c>
      <c r="D50" s="2">
        <v>147</v>
      </c>
      <c r="E50" s="3">
        <f>Sales[[#This Row],[Units]]*_xlfn.XLOOKUP(Sales[[#This Row],[Product]],Prices[Product],Prices[Price])</f>
        <v>7203</v>
      </c>
      <c r="F50" s="2" t="str">
        <f>"Q"&amp;ROUNDUP(MONTH(Sales[[#This Row],[Date]])/3,0)</f>
        <v>Q2</v>
      </c>
    </row>
    <row r="51" spans="1:6" x14ac:dyDescent="0.45">
      <c r="A51" s="4">
        <v>45792</v>
      </c>
      <c r="B51" s="2" t="s">
        <v>8</v>
      </c>
      <c r="C51" s="2" t="s">
        <v>17</v>
      </c>
      <c r="D51" s="2">
        <v>72</v>
      </c>
      <c r="E51" s="3">
        <f>Sales[[#This Row],[Units]]*_xlfn.XLOOKUP(Sales[[#This Row],[Product]],Prices[Product],Prices[Price])</f>
        <v>9288</v>
      </c>
      <c r="F51" s="2" t="str">
        <f>"Q"&amp;ROUNDUP(MONTH(Sales[[#This Row],[Date]])/3,0)</f>
        <v>Q2</v>
      </c>
    </row>
    <row r="52" spans="1:6" x14ac:dyDescent="0.45">
      <c r="A52" s="4">
        <v>45792</v>
      </c>
      <c r="B52" s="2" t="s">
        <v>8</v>
      </c>
      <c r="C52" s="2" t="s">
        <v>18</v>
      </c>
      <c r="D52" s="2">
        <v>18</v>
      </c>
      <c r="E52" s="3">
        <f>Sales[[#This Row],[Units]]*_xlfn.XLOOKUP(Sales[[#This Row],[Product]],Prices[Product],Prices[Price])</f>
        <v>7182</v>
      </c>
      <c r="F52" s="2" t="str">
        <f>"Q"&amp;ROUNDUP(MONTH(Sales[[#This Row],[Date]])/3,0)</f>
        <v>Q2</v>
      </c>
    </row>
    <row r="53" spans="1:6" x14ac:dyDescent="0.45">
      <c r="A53" s="4">
        <v>45792</v>
      </c>
      <c r="B53" s="2" t="s">
        <v>9</v>
      </c>
      <c r="C53" s="2" t="s">
        <v>16</v>
      </c>
      <c r="D53" s="2">
        <v>138</v>
      </c>
      <c r="E53" s="3">
        <f>Sales[[#This Row],[Units]]*_xlfn.XLOOKUP(Sales[[#This Row],[Product]],Prices[Product],Prices[Price])</f>
        <v>6762</v>
      </c>
      <c r="F53" s="2" t="str">
        <f>"Q"&amp;ROUNDUP(MONTH(Sales[[#This Row],[Date]])/3,0)</f>
        <v>Q2</v>
      </c>
    </row>
    <row r="54" spans="1:6" x14ac:dyDescent="0.45">
      <c r="A54" s="4">
        <v>45792</v>
      </c>
      <c r="B54" s="2" t="s">
        <v>9</v>
      </c>
      <c r="C54" s="2" t="s">
        <v>17</v>
      </c>
      <c r="D54" s="2">
        <v>62</v>
      </c>
      <c r="E54" s="3">
        <f>Sales[[#This Row],[Units]]*_xlfn.XLOOKUP(Sales[[#This Row],[Product]],Prices[Product],Prices[Price])</f>
        <v>7998</v>
      </c>
      <c r="F54" s="2" t="str">
        <f>"Q"&amp;ROUNDUP(MONTH(Sales[[#This Row],[Date]])/3,0)</f>
        <v>Q2</v>
      </c>
    </row>
    <row r="55" spans="1:6" x14ac:dyDescent="0.45">
      <c r="A55" s="4">
        <v>45792</v>
      </c>
      <c r="B55" s="2" t="s">
        <v>9</v>
      </c>
      <c r="C55" s="2" t="s">
        <v>18</v>
      </c>
      <c r="D55" s="2">
        <v>21</v>
      </c>
      <c r="E55" s="3">
        <f>Sales[[#This Row],[Units]]*_xlfn.XLOOKUP(Sales[[#This Row],[Product]],Prices[Product],Prices[Price])</f>
        <v>8379</v>
      </c>
      <c r="F55" s="2" t="str">
        <f>"Q"&amp;ROUNDUP(MONTH(Sales[[#This Row],[Date]])/3,0)</f>
        <v>Q2</v>
      </c>
    </row>
    <row r="56" spans="1:6" x14ac:dyDescent="0.45">
      <c r="A56" s="4">
        <v>45792</v>
      </c>
      <c r="B56" s="2" t="s">
        <v>10</v>
      </c>
      <c r="C56" s="2" t="s">
        <v>16</v>
      </c>
      <c r="D56" s="2">
        <v>107</v>
      </c>
      <c r="E56" s="3">
        <f>Sales[[#This Row],[Units]]*_xlfn.XLOOKUP(Sales[[#This Row],[Product]],Prices[Product],Prices[Price])</f>
        <v>5243</v>
      </c>
      <c r="F56" s="2" t="str">
        <f>"Q"&amp;ROUNDUP(MONTH(Sales[[#This Row],[Date]])/3,0)</f>
        <v>Q2</v>
      </c>
    </row>
    <row r="57" spans="1:6" x14ac:dyDescent="0.45">
      <c r="A57" s="4">
        <v>45792</v>
      </c>
      <c r="B57" s="2" t="s">
        <v>10</v>
      </c>
      <c r="C57" s="2" t="s">
        <v>17</v>
      </c>
      <c r="D57" s="2">
        <v>51</v>
      </c>
      <c r="E57" s="3">
        <f>Sales[[#This Row],[Units]]*_xlfn.XLOOKUP(Sales[[#This Row],[Product]],Prices[Product],Prices[Price])</f>
        <v>6579</v>
      </c>
      <c r="F57" s="2" t="str">
        <f>"Q"&amp;ROUNDUP(MONTH(Sales[[#This Row],[Date]])/3,0)</f>
        <v>Q2</v>
      </c>
    </row>
    <row r="58" spans="1:6" x14ac:dyDescent="0.45">
      <c r="A58" s="4">
        <v>45792</v>
      </c>
      <c r="B58" s="2" t="s">
        <v>10</v>
      </c>
      <c r="C58" s="2" t="s">
        <v>18</v>
      </c>
      <c r="D58" s="2">
        <v>17</v>
      </c>
      <c r="E58" s="3">
        <f>Sales[[#This Row],[Units]]*_xlfn.XLOOKUP(Sales[[#This Row],[Product]],Prices[Product],Prices[Price])</f>
        <v>6783</v>
      </c>
      <c r="F58" s="2" t="str">
        <f>"Q"&amp;ROUNDUP(MONTH(Sales[[#This Row],[Date]])/3,0)</f>
        <v>Q2</v>
      </c>
    </row>
    <row r="59" spans="1:6" x14ac:dyDescent="0.45">
      <c r="A59" s="4">
        <v>45792</v>
      </c>
      <c r="B59" s="2" t="s">
        <v>11</v>
      </c>
      <c r="C59" s="2" t="s">
        <v>16</v>
      </c>
      <c r="D59" s="2">
        <v>205</v>
      </c>
      <c r="E59" s="3">
        <f>Sales[[#This Row],[Units]]*_xlfn.XLOOKUP(Sales[[#This Row],[Product]],Prices[Product],Prices[Price])</f>
        <v>10045</v>
      </c>
      <c r="F59" s="2" t="str">
        <f>"Q"&amp;ROUNDUP(MONTH(Sales[[#This Row],[Date]])/3,0)</f>
        <v>Q2</v>
      </c>
    </row>
    <row r="60" spans="1:6" x14ac:dyDescent="0.45">
      <c r="A60" s="4">
        <v>45792</v>
      </c>
      <c r="B60" s="2" t="s">
        <v>11</v>
      </c>
      <c r="C60" s="2" t="s">
        <v>17</v>
      </c>
      <c r="D60" s="2">
        <v>94</v>
      </c>
      <c r="E60" s="3">
        <f>Sales[[#This Row],[Units]]*_xlfn.XLOOKUP(Sales[[#This Row],[Product]],Prices[Product],Prices[Price])</f>
        <v>12126</v>
      </c>
      <c r="F60" s="2" t="str">
        <f>"Q"&amp;ROUNDUP(MONTH(Sales[[#This Row],[Date]])/3,0)</f>
        <v>Q2</v>
      </c>
    </row>
    <row r="61" spans="1:6" x14ac:dyDescent="0.45">
      <c r="A61" s="4">
        <v>45792</v>
      </c>
      <c r="B61" s="2" t="s">
        <v>11</v>
      </c>
      <c r="C61" s="2" t="s">
        <v>18</v>
      </c>
      <c r="D61" s="2">
        <v>24</v>
      </c>
      <c r="E61" s="3">
        <f>Sales[[#This Row],[Units]]*_xlfn.XLOOKUP(Sales[[#This Row],[Product]],Prices[Product],Prices[Price])</f>
        <v>9576</v>
      </c>
      <c r="F61" s="2" t="str">
        <f>"Q"&amp;ROUNDUP(MONTH(Sales[[#This Row],[Date]])/3,0)</f>
        <v>Q2</v>
      </c>
    </row>
    <row r="62" spans="1:6" x14ac:dyDescent="0.45">
      <c r="A62" s="4">
        <v>45823</v>
      </c>
      <c r="B62" s="2" t="s">
        <v>8</v>
      </c>
      <c r="C62" s="2" t="s">
        <v>16</v>
      </c>
      <c r="D62" s="2">
        <v>189</v>
      </c>
      <c r="E62" s="3">
        <f>Sales[[#This Row],[Units]]*_xlfn.XLOOKUP(Sales[[#This Row],[Product]],Prices[Product],Prices[Price])</f>
        <v>9261</v>
      </c>
      <c r="F62" s="2" t="str">
        <f>"Q"&amp;ROUNDUP(MONTH(Sales[[#This Row],[Date]])/3,0)</f>
        <v>Q2</v>
      </c>
    </row>
    <row r="63" spans="1:6" x14ac:dyDescent="0.45">
      <c r="A63" s="4">
        <v>45823</v>
      </c>
      <c r="B63" s="2" t="s">
        <v>8</v>
      </c>
      <c r="C63" s="2" t="s">
        <v>17</v>
      </c>
      <c r="D63" s="2">
        <v>80</v>
      </c>
      <c r="E63" s="3">
        <f>Sales[[#This Row],[Units]]*_xlfn.XLOOKUP(Sales[[#This Row],[Product]],Prices[Product],Prices[Price])</f>
        <v>10320</v>
      </c>
      <c r="F63" s="2" t="str">
        <f>"Q"&amp;ROUNDUP(MONTH(Sales[[#This Row],[Date]])/3,0)</f>
        <v>Q2</v>
      </c>
    </row>
    <row r="64" spans="1:6" x14ac:dyDescent="0.45">
      <c r="A64" s="4">
        <v>45823</v>
      </c>
      <c r="B64" s="2" t="s">
        <v>8</v>
      </c>
      <c r="C64" s="2" t="s">
        <v>18</v>
      </c>
      <c r="D64" s="2">
        <v>17</v>
      </c>
      <c r="E64" s="3">
        <f>Sales[[#This Row],[Units]]*_xlfn.XLOOKUP(Sales[[#This Row],[Product]],Prices[Product],Prices[Price])</f>
        <v>6783</v>
      </c>
      <c r="F64" s="2" t="str">
        <f>"Q"&amp;ROUNDUP(MONTH(Sales[[#This Row],[Date]])/3,0)</f>
        <v>Q2</v>
      </c>
    </row>
    <row r="65" spans="1:6" x14ac:dyDescent="0.45">
      <c r="A65" s="4">
        <v>45823</v>
      </c>
      <c r="B65" s="2" t="s">
        <v>9</v>
      </c>
      <c r="C65" s="2" t="s">
        <v>16</v>
      </c>
      <c r="D65" s="2">
        <v>124</v>
      </c>
      <c r="E65" s="3">
        <f>Sales[[#This Row],[Units]]*_xlfn.XLOOKUP(Sales[[#This Row],[Product]],Prices[Product],Prices[Price])</f>
        <v>6076</v>
      </c>
      <c r="F65" s="2" t="str">
        <f>"Q"&amp;ROUNDUP(MONTH(Sales[[#This Row],[Date]])/3,0)</f>
        <v>Q2</v>
      </c>
    </row>
    <row r="66" spans="1:6" x14ac:dyDescent="0.45">
      <c r="A66" s="4">
        <v>45823</v>
      </c>
      <c r="B66" s="2" t="s">
        <v>9</v>
      </c>
      <c r="C66" s="2" t="s">
        <v>17</v>
      </c>
      <c r="D66" s="2">
        <v>75</v>
      </c>
      <c r="E66" s="3">
        <f>Sales[[#This Row],[Units]]*_xlfn.XLOOKUP(Sales[[#This Row],[Product]],Prices[Product],Prices[Price])</f>
        <v>9675</v>
      </c>
      <c r="F66" s="2" t="str">
        <f>"Q"&amp;ROUNDUP(MONTH(Sales[[#This Row],[Date]])/3,0)</f>
        <v>Q2</v>
      </c>
    </row>
    <row r="67" spans="1:6" x14ac:dyDescent="0.45">
      <c r="A67" s="4">
        <v>45823</v>
      </c>
      <c r="B67" s="2" t="s">
        <v>9</v>
      </c>
      <c r="C67" s="2" t="s">
        <v>18</v>
      </c>
      <c r="D67" s="2">
        <v>13</v>
      </c>
      <c r="E67" s="3">
        <f>Sales[[#This Row],[Units]]*_xlfn.XLOOKUP(Sales[[#This Row],[Product]],Prices[Product],Prices[Price])</f>
        <v>5187</v>
      </c>
      <c r="F67" s="2" t="str">
        <f>"Q"&amp;ROUNDUP(MONTH(Sales[[#This Row],[Date]])/3,0)</f>
        <v>Q2</v>
      </c>
    </row>
    <row r="68" spans="1:6" x14ac:dyDescent="0.45">
      <c r="A68" s="4">
        <v>45823</v>
      </c>
      <c r="B68" s="2" t="s">
        <v>10</v>
      </c>
      <c r="C68" s="2" t="s">
        <v>16</v>
      </c>
      <c r="D68" s="2">
        <v>127</v>
      </c>
      <c r="E68" s="3">
        <f>Sales[[#This Row],[Units]]*_xlfn.XLOOKUP(Sales[[#This Row],[Product]],Prices[Product],Prices[Price])</f>
        <v>6223</v>
      </c>
      <c r="F68" s="2" t="str">
        <f>"Q"&amp;ROUNDUP(MONTH(Sales[[#This Row],[Date]])/3,0)</f>
        <v>Q2</v>
      </c>
    </row>
    <row r="69" spans="1:6" x14ac:dyDescent="0.45">
      <c r="A69" s="4">
        <v>45823</v>
      </c>
      <c r="B69" s="2" t="s">
        <v>10</v>
      </c>
      <c r="C69" s="2" t="s">
        <v>17</v>
      </c>
      <c r="D69" s="2">
        <v>65</v>
      </c>
      <c r="E69" s="3">
        <f>Sales[[#This Row],[Units]]*_xlfn.XLOOKUP(Sales[[#This Row],[Product]],Prices[Product],Prices[Price])</f>
        <v>8385</v>
      </c>
      <c r="F69" s="2" t="str">
        <f>"Q"&amp;ROUNDUP(MONTH(Sales[[#This Row],[Date]])/3,0)</f>
        <v>Q2</v>
      </c>
    </row>
    <row r="70" spans="1:6" x14ac:dyDescent="0.45">
      <c r="A70" s="4">
        <v>45823</v>
      </c>
      <c r="B70" s="2" t="s">
        <v>10</v>
      </c>
      <c r="C70" s="2" t="s">
        <v>18</v>
      </c>
      <c r="D70" s="2">
        <v>15</v>
      </c>
      <c r="E70" s="3">
        <f>Sales[[#This Row],[Units]]*_xlfn.XLOOKUP(Sales[[#This Row],[Product]],Prices[Product],Prices[Price])</f>
        <v>5985</v>
      </c>
      <c r="F70" s="2" t="str">
        <f>"Q"&amp;ROUNDUP(MONTH(Sales[[#This Row],[Date]])/3,0)</f>
        <v>Q2</v>
      </c>
    </row>
    <row r="71" spans="1:6" x14ac:dyDescent="0.45">
      <c r="A71" s="4">
        <v>45823</v>
      </c>
      <c r="B71" s="2" t="s">
        <v>11</v>
      </c>
      <c r="C71" s="2" t="s">
        <v>16</v>
      </c>
      <c r="D71" s="2">
        <v>199</v>
      </c>
      <c r="E71" s="3">
        <f>Sales[[#This Row],[Units]]*_xlfn.XLOOKUP(Sales[[#This Row],[Product]],Prices[Product],Prices[Price])</f>
        <v>9751</v>
      </c>
      <c r="F71" s="2" t="str">
        <f>"Q"&amp;ROUNDUP(MONTH(Sales[[#This Row],[Date]])/3,0)</f>
        <v>Q2</v>
      </c>
    </row>
    <row r="72" spans="1:6" x14ac:dyDescent="0.45">
      <c r="A72" s="4">
        <v>45823</v>
      </c>
      <c r="B72" s="2" t="s">
        <v>11</v>
      </c>
      <c r="C72" s="2" t="s">
        <v>17</v>
      </c>
      <c r="D72" s="2">
        <v>98</v>
      </c>
      <c r="E72" s="3">
        <f>Sales[[#This Row],[Units]]*_xlfn.XLOOKUP(Sales[[#This Row],[Product]],Prices[Product],Prices[Price])</f>
        <v>12642</v>
      </c>
      <c r="F72" s="2" t="str">
        <f>"Q"&amp;ROUNDUP(MONTH(Sales[[#This Row],[Date]])/3,0)</f>
        <v>Q2</v>
      </c>
    </row>
    <row r="73" spans="1:6" x14ac:dyDescent="0.45">
      <c r="A73" s="4">
        <v>45823</v>
      </c>
      <c r="B73" s="2" t="s">
        <v>11</v>
      </c>
      <c r="C73" s="2" t="s">
        <v>18</v>
      </c>
      <c r="D73" s="2">
        <v>28</v>
      </c>
      <c r="E73" s="3">
        <f>Sales[[#This Row],[Units]]*_xlfn.XLOOKUP(Sales[[#This Row],[Product]],Prices[Product],Prices[Price])</f>
        <v>11172</v>
      </c>
      <c r="F73" s="2" t="str">
        <f>"Q"&amp;ROUNDUP(MONTH(Sales[[#This Row],[Date]])/3,0)</f>
        <v>Q2</v>
      </c>
    </row>
    <row r="74" spans="1:6" x14ac:dyDescent="0.45">
      <c r="A74" s="4">
        <v>45853</v>
      </c>
      <c r="B74" s="2" t="s">
        <v>8</v>
      </c>
      <c r="C74" s="2" t="s">
        <v>16</v>
      </c>
      <c r="D74" s="2">
        <v>180</v>
      </c>
      <c r="E74" s="3">
        <f>Sales[[#This Row],[Units]]*_xlfn.XLOOKUP(Sales[[#This Row],[Product]],Prices[Product],Prices[Price])</f>
        <v>8820</v>
      </c>
      <c r="F74" s="2" t="str">
        <f>"Q"&amp;ROUNDUP(MONTH(Sales[[#This Row],[Date]])/3,0)</f>
        <v>Q3</v>
      </c>
    </row>
    <row r="75" spans="1:6" x14ac:dyDescent="0.45">
      <c r="A75" s="4">
        <v>45853</v>
      </c>
      <c r="B75" s="2" t="s">
        <v>8</v>
      </c>
      <c r="C75" s="2" t="s">
        <v>17</v>
      </c>
      <c r="D75" s="2">
        <v>78</v>
      </c>
      <c r="E75" s="3">
        <f>Sales[[#This Row],[Units]]*_xlfn.XLOOKUP(Sales[[#This Row],[Product]],Prices[Product],Prices[Price])</f>
        <v>10062</v>
      </c>
      <c r="F75" s="2" t="str">
        <f>"Q"&amp;ROUNDUP(MONTH(Sales[[#This Row],[Date]])/3,0)</f>
        <v>Q3</v>
      </c>
    </row>
    <row r="76" spans="1:6" x14ac:dyDescent="0.45">
      <c r="A76" s="4">
        <v>45853</v>
      </c>
      <c r="B76" s="2" t="s">
        <v>8</v>
      </c>
      <c r="C76" s="2" t="s">
        <v>18</v>
      </c>
      <c r="D76" s="2">
        <v>19</v>
      </c>
      <c r="E76" s="3">
        <f>Sales[[#This Row],[Units]]*_xlfn.XLOOKUP(Sales[[#This Row],[Product]],Prices[Product],Prices[Price])</f>
        <v>7581</v>
      </c>
      <c r="F76" s="2" t="str">
        <f>"Q"&amp;ROUNDUP(MONTH(Sales[[#This Row],[Date]])/3,0)</f>
        <v>Q3</v>
      </c>
    </row>
    <row r="77" spans="1:6" x14ac:dyDescent="0.45">
      <c r="A77" s="4">
        <v>45853</v>
      </c>
      <c r="B77" s="2" t="s">
        <v>9</v>
      </c>
      <c r="C77" s="2" t="s">
        <v>16</v>
      </c>
      <c r="D77" s="2">
        <v>123</v>
      </c>
      <c r="E77" s="3">
        <f>Sales[[#This Row],[Units]]*_xlfn.XLOOKUP(Sales[[#This Row],[Product]],Prices[Product],Prices[Price])</f>
        <v>6027</v>
      </c>
      <c r="F77" s="2" t="str">
        <f>"Q"&amp;ROUNDUP(MONTH(Sales[[#This Row],[Date]])/3,0)</f>
        <v>Q3</v>
      </c>
    </row>
    <row r="78" spans="1:6" x14ac:dyDescent="0.45">
      <c r="A78" s="4">
        <v>45853</v>
      </c>
      <c r="B78" s="2" t="s">
        <v>9</v>
      </c>
      <c r="C78" s="2" t="s">
        <v>17</v>
      </c>
      <c r="D78" s="2">
        <v>77</v>
      </c>
      <c r="E78" s="3">
        <f>Sales[[#This Row],[Units]]*_xlfn.XLOOKUP(Sales[[#This Row],[Product]],Prices[Product],Prices[Price])</f>
        <v>9933</v>
      </c>
      <c r="F78" s="2" t="str">
        <f>"Q"&amp;ROUNDUP(MONTH(Sales[[#This Row],[Date]])/3,0)</f>
        <v>Q3</v>
      </c>
    </row>
    <row r="79" spans="1:6" x14ac:dyDescent="0.45">
      <c r="A79" s="4">
        <v>45853</v>
      </c>
      <c r="B79" s="2" t="s">
        <v>9</v>
      </c>
      <c r="C79" s="2" t="s">
        <v>18</v>
      </c>
      <c r="D79" s="2">
        <v>16</v>
      </c>
      <c r="E79" s="3">
        <f>Sales[[#This Row],[Units]]*_xlfn.XLOOKUP(Sales[[#This Row],[Product]],Prices[Product],Prices[Price])</f>
        <v>6384</v>
      </c>
      <c r="F79" s="2" t="str">
        <f>"Q"&amp;ROUNDUP(MONTH(Sales[[#This Row],[Date]])/3,0)</f>
        <v>Q3</v>
      </c>
    </row>
    <row r="80" spans="1:6" x14ac:dyDescent="0.45">
      <c r="A80" s="4">
        <v>45853</v>
      </c>
      <c r="B80" s="2" t="s">
        <v>10</v>
      </c>
      <c r="C80" s="2" t="s">
        <v>16</v>
      </c>
      <c r="D80" s="2">
        <v>129</v>
      </c>
      <c r="E80" s="3">
        <f>Sales[[#This Row],[Units]]*_xlfn.XLOOKUP(Sales[[#This Row],[Product]],Prices[Product],Prices[Price])</f>
        <v>6321</v>
      </c>
      <c r="F80" s="2" t="str">
        <f>"Q"&amp;ROUNDUP(MONTH(Sales[[#This Row],[Date]])/3,0)</f>
        <v>Q3</v>
      </c>
    </row>
    <row r="81" spans="1:6" x14ac:dyDescent="0.45">
      <c r="A81" s="4">
        <v>45853</v>
      </c>
      <c r="B81" s="2" t="s">
        <v>10</v>
      </c>
      <c r="C81" s="2" t="s">
        <v>17</v>
      </c>
      <c r="D81" s="2">
        <v>72</v>
      </c>
      <c r="E81" s="3">
        <f>Sales[[#This Row],[Units]]*_xlfn.XLOOKUP(Sales[[#This Row],[Product]],Prices[Product],Prices[Price])</f>
        <v>9288</v>
      </c>
      <c r="F81" s="2" t="str">
        <f>"Q"&amp;ROUNDUP(MONTH(Sales[[#This Row],[Date]])/3,0)</f>
        <v>Q3</v>
      </c>
    </row>
    <row r="82" spans="1:6" x14ac:dyDescent="0.45">
      <c r="A82" s="4">
        <v>45853</v>
      </c>
      <c r="B82" s="2" t="s">
        <v>10</v>
      </c>
      <c r="C82" s="2" t="s">
        <v>18</v>
      </c>
      <c r="D82" s="2">
        <v>14</v>
      </c>
      <c r="E82" s="3">
        <f>Sales[[#This Row],[Units]]*_xlfn.XLOOKUP(Sales[[#This Row],[Product]],Prices[Product],Prices[Price])</f>
        <v>5586</v>
      </c>
      <c r="F82" s="2" t="str">
        <f>"Q"&amp;ROUNDUP(MONTH(Sales[[#This Row],[Date]])/3,0)</f>
        <v>Q3</v>
      </c>
    </row>
    <row r="83" spans="1:6" x14ac:dyDescent="0.45">
      <c r="A83" s="4">
        <v>45853</v>
      </c>
      <c r="B83" s="2" t="s">
        <v>11</v>
      </c>
      <c r="C83" s="2" t="s">
        <v>16</v>
      </c>
      <c r="D83" s="2">
        <v>186</v>
      </c>
      <c r="E83" s="3">
        <f>Sales[[#This Row],[Units]]*_xlfn.XLOOKUP(Sales[[#This Row],[Product]],Prices[Product],Prices[Price])</f>
        <v>9114</v>
      </c>
      <c r="F83" s="2" t="str">
        <f>"Q"&amp;ROUNDUP(MONTH(Sales[[#This Row],[Date]])/3,0)</f>
        <v>Q3</v>
      </c>
    </row>
    <row r="84" spans="1:6" x14ac:dyDescent="0.45">
      <c r="A84" s="4">
        <v>45853</v>
      </c>
      <c r="B84" s="2" t="s">
        <v>11</v>
      </c>
      <c r="C84" s="2" t="s">
        <v>17</v>
      </c>
      <c r="D84" s="2">
        <v>79</v>
      </c>
      <c r="E84" s="3">
        <f>Sales[[#This Row],[Units]]*_xlfn.XLOOKUP(Sales[[#This Row],[Product]],Prices[Product],Prices[Price])</f>
        <v>10191</v>
      </c>
      <c r="F84" s="2" t="str">
        <f>"Q"&amp;ROUNDUP(MONTH(Sales[[#This Row],[Date]])/3,0)</f>
        <v>Q3</v>
      </c>
    </row>
    <row r="85" spans="1:6" x14ac:dyDescent="0.45">
      <c r="A85" s="4">
        <v>45853</v>
      </c>
      <c r="B85" s="2" t="s">
        <v>11</v>
      </c>
      <c r="C85" s="2" t="s">
        <v>18</v>
      </c>
      <c r="D85" s="2">
        <v>21</v>
      </c>
      <c r="E85" s="3">
        <f>Sales[[#This Row],[Units]]*_xlfn.XLOOKUP(Sales[[#This Row],[Product]],Prices[Product],Prices[Price])</f>
        <v>8379</v>
      </c>
      <c r="F85" s="2" t="str">
        <f>"Q"&amp;ROUNDUP(MONTH(Sales[[#This Row],[Date]])/3,0)</f>
        <v>Q3</v>
      </c>
    </row>
    <row r="86" spans="1:6" x14ac:dyDescent="0.45">
      <c r="A86" s="4">
        <v>45884</v>
      </c>
      <c r="B86" s="2" t="s">
        <v>8</v>
      </c>
      <c r="C86" s="2" t="s">
        <v>16</v>
      </c>
      <c r="D86" s="2">
        <v>164</v>
      </c>
      <c r="E86" s="3">
        <f>Sales[[#This Row],[Units]]*_xlfn.XLOOKUP(Sales[[#This Row],[Product]],Prices[Product],Prices[Price])</f>
        <v>8036</v>
      </c>
      <c r="F86" s="2" t="str">
        <f>"Q"&amp;ROUNDUP(MONTH(Sales[[#This Row],[Date]])/3,0)</f>
        <v>Q3</v>
      </c>
    </row>
    <row r="87" spans="1:6" x14ac:dyDescent="0.45">
      <c r="A87" s="4">
        <v>45884</v>
      </c>
      <c r="B87" s="2" t="s">
        <v>8</v>
      </c>
      <c r="C87" s="2" t="s">
        <v>17</v>
      </c>
      <c r="D87" s="2">
        <v>90</v>
      </c>
      <c r="E87" s="3">
        <f>Sales[[#This Row],[Units]]*_xlfn.XLOOKUP(Sales[[#This Row],[Product]],Prices[Product],Prices[Price])</f>
        <v>11610</v>
      </c>
      <c r="F87" s="2" t="str">
        <f>"Q"&amp;ROUNDUP(MONTH(Sales[[#This Row],[Date]])/3,0)</f>
        <v>Q3</v>
      </c>
    </row>
    <row r="88" spans="1:6" x14ac:dyDescent="0.45">
      <c r="A88" s="4">
        <v>45884</v>
      </c>
      <c r="B88" s="2" t="s">
        <v>8</v>
      </c>
      <c r="C88" s="2" t="s">
        <v>18</v>
      </c>
      <c r="D88" s="2">
        <v>24</v>
      </c>
      <c r="E88" s="3">
        <f>Sales[[#This Row],[Units]]*_xlfn.XLOOKUP(Sales[[#This Row],[Product]],Prices[Product],Prices[Price])</f>
        <v>9576</v>
      </c>
      <c r="F88" s="2" t="str">
        <f>"Q"&amp;ROUNDUP(MONTH(Sales[[#This Row],[Date]])/3,0)</f>
        <v>Q3</v>
      </c>
    </row>
    <row r="89" spans="1:6" x14ac:dyDescent="0.45">
      <c r="A89" s="4">
        <v>45884</v>
      </c>
      <c r="B89" s="2" t="s">
        <v>9</v>
      </c>
      <c r="C89" s="2" t="s">
        <v>16</v>
      </c>
      <c r="D89" s="2">
        <v>142</v>
      </c>
      <c r="E89" s="3">
        <f>Sales[[#This Row],[Units]]*_xlfn.XLOOKUP(Sales[[#This Row],[Product]],Prices[Product],Prices[Price])</f>
        <v>6958</v>
      </c>
      <c r="F89" s="2" t="str">
        <f>"Q"&amp;ROUNDUP(MONTH(Sales[[#This Row],[Date]])/3,0)</f>
        <v>Q3</v>
      </c>
    </row>
    <row r="90" spans="1:6" x14ac:dyDescent="0.45">
      <c r="A90" s="4">
        <v>45884</v>
      </c>
      <c r="B90" s="2" t="s">
        <v>9</v>
      </c>
      <c r="C90" s="2" t="s">
        <v>17</v>
      </c>
      <c r="D90" s="2">
        <v>73</v>
      </c>
      <c r="E90" s="3">
        <f>Sales[[#This Row],[Units]]*_xlfn.XLOOKUP(Sales[[#This Row],[Product]],Prices[Product],Prices[Price])</f>
        <v>9417</v>
      </c>
      <c r="F90" s="2" t="str">
        <f>"Q"&amp;ROUNDUP(MONTH(Sales[[#This Row],[Date]])/3,0)</f>
        <v>Q3</v>
      </c>
    </row>
    <row r="91" spans="1:6" x14ac:dyDescent="0.45">
      <c r="A91" s="4">
        <v>45884</v>
      </c>
      <c r="B91" s="2" t="s">
        <v>9</v>
      </c>
      <c r="C91" s="2" t="s">
        <v>18</v>
      </c>
      <c r="D91" s="2">
        <v>18</v>
      </c>
      <c r="E91" s="3">
        <f>Sales[[#This Row],[Units]]*_xlfn.XLOOKUP(Sales[[#This Row],[Product]],Prices[Product],Prices[Price])</f>
        <v>7182</v>
      </c>
      <c r="F91" s="2" t="str">
        <f>"Q"&amp;ROUNDUP(MONTH(Sales[[#This Row],[Date]])/3,0)</f>
        <v>Q3</v>
      </c>
    </row>
    <row r="92" spans="1:6" x14ac:dyDescent="0.45">
      <c r="A92" s="4">
        <v>45884</v>
      </c>
      <c r="B92" s="2" t="s">
        <v>10</v>
      </c>
      <c r="C92" s="2" t="s">
        <v>16</v>
      </c>
      <c r="D92" s="2">
        <v>154</v>
      </c>
      <c r="E92" s="3">
        <f>Sales[[#This Row],[Units]]*_xlfn.XLOOKUP(Sales[[#This Row],[Product]],Prices[Product],Prices[Price])</f>
        <v>7546</v>
      </c>
      <c r="F92" s="2" t="str">
        <f>"Q"&amp;ROUNDUP(MONTH(Sales[[#This Row],[Date]])/3,0)</f>
        <v>Q3</v>
      </c>
    </row>
    <row r="93" spans="1:6" x14ac:dyDescent="0.45">
      <c r="A93" s="4">
        <v>45884</v>
      </c>
      <c r="B93" s="2" t="s">
        <v>10</v>
      </c>
      <c r="C93" s="2" t="s">
        <v>17</v>
      </c>
      <c r="D93" s="2">
        <v>75</v>
      </c>
      <c r="E93" s="3">
        <f>Sales[[#This Row],[Units]]*_xlfn.XLOOKUP(Sales[[#This Row],[Product]],Prices[Product],Prices[Price])</f>
        <v>9675</v>
      </c>
      <c r="F93" s="2" t="str">
        <f>"Q"&amp;ROUNDUP(MONTH(Sales[[#This Row],[Date]])/3,0)</f>
        <v>Q3</v>
      </c>
    </row>
    <row r="94" spans="1:6" x14ac:dyDescent="0.45">
      <c r="A94" s="4">
        <v>45884</v>
      </c>
      <c r="B94" s="2" t="s">
        <v>10</v>
      </c>
      <c r="C94" s="2" t="s">
        <v>18</v>
      </c>
      <c r="D94" s="2">
        <v>17</v>
      </c>
      <c r="E94" s="3">
        <f>Sales[[#This Row],[Units]]*_xlfn.XLOOKUP(Sales[[#This Row],[Product]],Prices[Product],Prices[Price])</f>
        <v>6783</v>
      </c>
      <c r="F94" s="2" t="str">
        <f>"Q"&amp;ROUNDUP(MONTH(Sales[[#This Row],[Date]])/3,0)</f>
        <v>Q3</v>
      </c>
    </row>
    <row r="95" spans="1:6" x14ac:dyDescent="0.45">
      <c r="A95" s="4">
        <v>45884</v>
      </c>
      <c r="B95" s="2" t="s">
        <v>11</v>
      </c>
      <c r="C95" s="2" t="s">
        <v>16</v>
      </c>
      <c r="D95" s="2">
        <v>179</v>
      </c>
      <c r="E95" s="3">
        <f>Sales[[#This Row],[Units]]*_xlfn.XLOOKUP(Sales[[#This Row],[Product]],Prices[Product],Prices[Price])</f>
        <v>8771</v>
      </c>
      <c r="F95" s="2" t="str">
        <f>"Q"&amp;ROUNDUP(MONTH(Sales[[#This Row],[Date]])/3,0)</f>
        <v>Q3</v>
      </c>
    </row>
    <row r="96" spans="1:6" x14ac:dyDescent="0.45">
      <c r="A96" s="4">
        <v>45884</v>
      </c>
      <c r="B96" s="2" t="s">
        <v>11</v>
      </c>
      <c r="C96" s="2" t="s">
        <v>17</v>
      </c>
      <c r="D96" s="2">
        <v>107</v>
      </c>
      <c r="E96" s="3">
        <f>Sales[[#This Row],[Units]]*_xlfn.XLOOKUP(Sales[[#This Row],[Product]],Prices[Product],Prices[Price])</f>
        <v>13803</v>
      </c>
      <c r="F96" s="2" t="str">
        <f>"Q"&amp;ROUNDUP(MONTH(Sales[[#This Row],[Date]])/3,0)</f>
        <v>Q3</v>
      </c>
    </row>
    <row r="97" spans="1:6" x14ac:dyDescent="0.45">
      <c r="A97" s="4">
        <v>45884</v>
      </c>
      <c r="B97" s="2" t="s">
        <v>11</v>
      </c>
      <c r="C97" s="2" t="s">
        <v>18</v>
      </c>
      <c r="D97" s="2">
        <v>25</v>
      </c>
      <c r="E97" s="3">
        <f>Sales[[#This Row],[Units]]*_xlfn.XLOOKUP(Sales[[#This Row],[Product]],Prices[Product],Prices[Price])</f>
        <v>9975</v>
      </c>
      <c r="F97" s="2" t="str">
        <f>"Q"&amp;ROUNDUP(MONTH(Sales[[#This Row],[Date]])/3,0)</f>
        <v>Q3</v>
      </c>
    </row>
    <row r="98" spans="1:6" x14ac:dyDescent="0.45">
      <c r="A98" s="4">
        <v>45915</v>
      </c>
      <c r="B98" s="2" t="s">
        <v>8</v>
      </c>
      <c r="C98" s="2" t="s">
        <v>16</v>
      </c>
      <c r="D98" s="2">
        <v>201</v>
      </c>
      <c r="E98" s="3">
        <f>Sales[[#This Row],[Units]]*_xlfn.XLOOKUP(Sales[[#This Row],[Product]],Prices[Product],Prices[Price])</f>
        <v>9849</v>
      </c>
      <c r="F98" s="2" t="str">
        <f>"Q"&amp;ROUNDUP(MONTH(Sales[[#This Row],[Date]])/3,0)</f>
        <v>Q3</v>
      </c>
    </row>
    <row r="99" spans="1:6" x14ac:dyDescent="0.45">
      <c r="A99" s="4">
        <v>45915</v>
      </c>
      <c r="B99" s="2" t="s">
        <v>8</v>
      </c>
      <c r="C99" s="2" t="s">
        <v>17</v>
      </c>
      <c r="D99" s="2">
        <v>89</v>
      </c>
      <c r="E99" s="3">
        <f>Sales[[#This Row],[Units]]*_xlfn.XLOOKUP(Sales[[#This Row],[Product]],Prices[Product],Prices[Price])</f>
        <v>11481</v>
      </c>
      <c r="F99" s="2" t="str">
        <f>"Q"&amp;ROUNDUP(MONTH(Sales[[#This Row],[Date]])/3,0)</f>
        <v>Q3</v>
      </c>
    </row>
    <row r="100" spans="1:6" x14ac:dyDescent="0.45">
      <c r="A100" s="4">
        <v>45915</v>
      </c>
      <c r="B100" s="2" t="s">
        <v>8</v>
      </c>
      <c r="C100" s="2" t="s">
        <v>18</v>
      </c>
      <c r="D100" s="2">
        <v>26</v>
      </c>
      <c r="E100" s="3">
        <f>Sales[[#This Row],[Units]]*_xlfn.XLOOKUP(Sales[[#This Row],[Product]],Prices[Product],Prices[Price])</f>
        <v>10374</v>
      </c>
      <c r="F100" s="2" t="str">
        <f>"Q"&amp;ROUNDUP(MONTH(Sales[[#This Row],[Date]])/3,0)</f>
        <v>Q3</v>
      </c>
    </row>
    <row r="101" spans="1:6" x14ac:dyDescent="0.45">
      <c r="A101" s="4">
        <v>45915</v>
      </c>
      <c r="B101" s="2" t="s">
        <v>9</v>
      </c>
      <c r="C101" s="2" t="s">
        <v>16</v>
      </c>
      <c r="D101" s="2">
        <v>140</v>
      </c>
      <c r="E101" s="3">
        <f>Sales[[#This Row],[Units]]*_xlfn.XLOOKUP(Sales[[#This Row],[Product]],Prices[Product],Prices[Price])</f>
        <v>6860</v>
      </c>
      <c r="F101" s="2" t="str">
        <f>"Q"&amp;ROUNDUP(MONTH(Sales[[#This Row],[Date]])/3,0)</f>
        <v>Q3</v>
      </c>
    </row>
    <row r="102" spans="1:6" x14ac:dyDescent="0.45">
      <c r="A102" s="4">
        <v>45915</v>
      </c>
      <c r="B102" s="2" t="s">
        <v>9</v>
      </c>
      <c r="C102" s="2" t="s">
        <v>17</v>
      </c>
      <c r="D102" s="2">
        <v>87</v>
      </c>
      <c r="E102" s="3">
        <f>Sales[[#This Row],[Units]]*_xlfn.XLOOKUP(Sales[[#This Row],[Product]],Prices[Product],Prices[Price])</f>
        <v>11223</v>
      </c>
      <c r="F102" s="2" t="str">
        <f>"Q"&amp;ROUNDUP(MONTH(Sales[[#This Row],[Date]])/3,0)</f>
        <v>Q3</v>
      </c>
    </row>
    <row r="103" spans="1:6" x14ac:dyDescent="0.45">
      <c r="A103" s="4">
        <v>45915</v>
      </c>
      <c r="B103" s="2" t="s">
        <v>9</v>
      </c>
      <c r="C103" s="2" t="s">
        <v>18</v>
      </c>
      <c r="D103" s="2">
        <v>18</v>
      </c>
      <c r="E103" s="3">
        <f>Sales[[#This Row],[Units]]*_xlfn.XLOOKUP(Sales[[#This Row],[Product]],Prices[Product],Prices[Price])</f>
        <v>7182</v>
      </c>
      <c r="F103" s="2" t="str">
        <f>"Q"&amp;ROUNDUP(MONTH(Sales[[#This Row],[Date]])/3,0)</f>
        <v>Q3</v>
      </c>
    </row>
    <row r="104" spans="1:6" x14ac:dyDescent="0.45">
      <c r="A104" s="4">
        <v>45915</v>
      </c>
      <c r="B104" s="2" t="s">
        <v>10</v>
      </c>
      <c r="C104" s="2" t="s">
        <v>16</v>
      </c>
      <c r="D104" s="2">
        <v>129</v>
      </c>
      <c r="E104" s="3">
        <f>Sales[[#This Row],[Units]]*_xlfn.XLOOKUP(Sales[[#This Row],[Product]],Prices[Product],Prices[Price])</f>
        <v>6321</v>
      </c>
      <c r="F104" s="2" t="str">
        <f>"Q"&amp;ROUNDUP(MONTH(Sales[[#This Row],[Date]])/3,0)</f>
        <v>Q3</v>
      </c>
    </row>
    <row r="105" spans="1:6" x14ac:dyDescent="0.45">
      <c r="A105" s="4">
        <v>45915</v>
      </c>
      <c r="B105" s="2" t="s">
        <v>10</v>
      </c>
      <c r="C105" s="2" t="s">
        <v>17</v>
      </c>
      <c r="D105" s="2">
        <v>59</v>
      </c>
      <c r="E105" s="3">
        <f>Sales[[#This Row],[Units]]*_xlfn.XLOOKUP(Sales[[#This Row],[Product]],Prices[Product],Prices[Price])</f>
        <v>7611</v>
      </c>
      <c r="F105" s="2" t="str">
        <f>"Q"&amp;ROUNDUP(MONTH(Sales[[#This Row],[Date]])/3,0)</f>
        <v>Q3</v>
      </c>
    </row>
    <row r="106" spans="1:6" x14ac:dyDescent="0.45">
      <c r="A106" s="4">
        <v>45915</v>
      </c>
      <c r="B106" s="2" t="s">
        <v>10</v>
      </c>
      <c r="C106" s="2" t="s">
        <v>18</v>
      </c>
      <c r="D106" s="2">
        <v>17</v>
      </c>
      <c r="E106" s="3">
        <f>Sales[[#This Row],[Units]]*_xlfn.XLOOKUP(Sales[[#This Row],[Product]],Prices[Product],Prices[Price])</f>
        <v>6783</v>
      </c>
      <c r="F106" s="2" t="str">
        <f>"Q"&amp;ROUNDUP(MONTH(Sales[[#This Row],[Date]])/3,0)</f>
        <v>Q3</v>
      </c>
    </row>
    <row r="107" spans="1:6" x14ac:dyDescent="0.45">
      <c r="A107" s="4">
        <v>45915</v>
      </c>
      <c r="B107" s="2" t="s">
        <v>11</v>
      </c>
      <c r="C107" s="2" t="s">
        <v>16</v>
      </c>
      <c r="D107" s="2">
        <v>229</v>
      </c>
      <c r="E107" s="3">
        <f>Sales[[#This Row],[Units]]*_xlfn.XLOOKUP(Sales[[#This Row],[Product]],Prices[Product],Prices[Price])</f>
        <v>11221</v>
      </c>
      <c r="F107" s="2" t="str">
        <f>"Q"&amp;ROUNDUP(MONTH(Sales[[#This Row],[Date]])/3,0)</f>
        <v>Q3</v>
      </c>
    </row>
    <row r="108" spans="1:6" x14ac:dyDescent="0.45">
      <c r="A108" s="4">
        <v>45915</v>
      </c>
      <c r="B108" s="2" t="s">
        <v>11</v>
      </c>
      <c r="C108" s="2" t="s">
        <v>17</v>
      </c>
      <c r="D108" s="2">
        <v>109</v>
      </c>
      <c r="E108" s="3">
        <f>Sales[[#This Row],[Units]]*_xlfn.XLOOKUP(Sales[[#This Row],[Product]],Prices[Product],Prices[Price])</f>
        <v>14061</v>
      </c>
      <c r="F108" s="2" t="str">
        <f>"Q"&amp;ROUNDUP(MONTH(Sales[[#This Row],[Date]])/3,0)</f>
        <v>Q3</v>
      </c>
    </row>
    <row r="109" spans="1:6" x14ac:dyDescent="0.45">
      <c r="A109" s="4">
        <v>45915</v>
      </c>
      <c r="B109" s="2" t="s">
        <v>11</v>
      </c>
      <c r="C109" s="2" t="s">
        <v>18</v>
      </c>
      <c r="D109" s="2">
        <v>27</v>
      </c>
      <c r="E109" s="3">
        <f>Sales[[#This Row],[Units]]*_xlfn.XLOOKUP(Sales[[#This Row],[Product]],Prices[Product],Prices[Price])</f>
        <v>10773</v>
      </c>
      <c r="F109" s="2" t="str">
        <f>"Q"&amp;ROUNDUP(MONTH(Sales[[#This Row],[Date]])/3,0)</f>
        <v>Q3</v>
      </c>
    </row>
    <row r="110" spans="1:6" x14ac:dyDescent="0.45">
      <c r="A110" s="4">
        <v>45945</v>
      </c>
      <c r="B110" s="2" t="s">
        <v>8</v>
      </c>
      <c r="C110" s="2" t="s">
        <v>16</v>
      </c>
      <c r="D110" s="2">
        <v>142</v>
      </c>
      <c r="E110" s="3">
        <f>Sales[[#This Row],[Units]]*_xlfn.XLOOKUP(Sales[[#This Row],[Product]],Prices[Product],Prices[Price])</f>
        <v>6958</v>
      </c>
      <c r="F110" s="2" t="str">
        <f>"Q"&amp;ROUNDUP(MONTH(Sales[[#This Row],[Date]])/3,0)</f>
        <v>Q4</v>
      </c>
    </row>
    <row r="111" spans="1:6" x14ac:dyDescent="0.45">
      <c r="A111" s="4">
        <v>45945</v>
      </c>
      <c r="B111" s="2" t="s">
        <v>8</v>
      </c>
      <c r="C111" s="2" t="s">
        <v>17</v>
      </c>
      <c r="D111" s="2">
        <v>98</v>
      </c>
      <c r="E111" s="3">
        <f>Sales[[#This Row],[Units]]*_xlfn.XLOOKUP(Sales[[#This Row],[Product]],Prices[Product],Prices[Price])</f>
        <v>12642</v>
      </c>
      <c r="F111" s="2" t="str">
        <f>"Q"&amp;ROUNDUP(MONTH(Sales[[#This Row],[Date]])/3,0)</f>
        <v>Q4</v>
      </c>
    </row>
    <row r="112" spans="1:6" x14ac:dyDescent="0.45">
      <c r="A112" s="4">
        <v>45945</v>
      </c>
      <c r="B112" s="2" t="s">
        <v>8</v>
      </c>
      <c r="C112" s="2" t="s">
        <v>18</v>
      </c>
      <c r="D112" s="2">
        <v>24</v>
      </c>
      <c r="E112" s="3">
        <f>Sales[[#This Row],[Units]]*_xlfn.XLOOKUP(Sales[[#This Row],[Product]],Prices[Product],Prices[Price])</f>
        <v>9576</v>
      </c>
      <c r="F112" s="2" t="str">
        <f>"Q"&amp;ROUNDUP(MONTH(Sales[[#This Row],[Date]])/3,0)</f>
        <v>Q4</v>
      </c>
    </row>
    <row r="113" spans="1:6" x14ac:dyDescent="0.45">
      <c r="A113" s="4">
        <v>45945</v>
      </c>
      <c r="B113" s="2" t="s">
        <v>9</v>
      </c>
      <c r="C113" s="2" t="s">
        <v>16</v>
      </c>
      <c r="D113" s="2">
        <v>141</v>
      </c>
      <c r="E113" s="3">
        <f>Sales[[#This Row],[Units]]*_xlfn.XLOOKUP(Sales[[#This Row],[Product]],Prices[Product],Prices[Price])</f>
        <v>6909</v>
      </c>
      <c r="F113" s="2" t="str">
        <f>"Q"&amp;ROUNDUP(MONTH(Sales[[#This Row],[Date]])/3,0)</f>
        <v>Q4</v>
      </c>
    </row>
    <row r="114" spans="1:6" x14ac:dyDescent="0.45">
      <c r="A114" s="4">
        <v>45945</v>
      </c>
      <c r="B114" s="2" t="s">
        <v>9</v>
      </c>
      <c r="C114" s="2" t="s">
        <v>17</v>
      </c>
      <c r="D114" s="2">
        <v>69</v>
      </c>
      <c r="E114" s="3">
        <f>Sales[[#This Row],[Units]]*_xlfn.XLOOKUP(Sales[[#This Row],[Product]],Prices[Product],Prices[Price])</f>
        <v>8901</v>
      </c>
      <c r="F114" s="2" t="str">
        <f>"Q"&amp;ROUNDUP(MONTH(Sales[[#This Row],[Date]])/3,0)</f>
        <v>Q4</v>
      </c>
    </row>
    <row r="115" spans="1:6" x14ac:dyDescent="0.45">
      <c r="A115" s="4">
        <v>45945</v>
      </c>
      <c r="B115" s="2" t="s">
        <v>9</v>
      </c>
      <c r="C115" s="2" t="s">
        <v>18</v>
      </c>
      <c r="D115" s="2">
        <v>18</v>
      </c>
      <c r="E115" s="3">
        <f>Sales[[#This Row],[Units]]*_xlfn.XLOOKUP(Sales[[#This Row],[Product]],Prices[Product],Prices[Price])</f>
        <v>7182</v>
      </c>
      <c r="F115" s="2" t="str">
        <f>"Q"&amp;ROUNDUP(MONTH(Sales[[#This Row],[Date]])/3,0)</f>
        <v>Q4</v>
      </c>
    </row>
    <row r="116" spans="1:6" x14ac:dyDescent="0.45">
      <c r="A116" s="4">
        <v>45945</v>
      </c>
      <c r="B116" s="2" t="s">
        <v>10</v>
      </c>
      <c r="C116" s="2" t="s">
        <v>16</v>
      </c>
      <c r="D116" s="2">
        <v>173</v>
      </c>
      <c r="E116" s="3">
        <f>Sales[[#This Row],[Units]]*_xlfn.XLOOKUP(Sales[[#This Row],[Product]],Prices[Product],Prices[Price])</f>
        <v>8477</v>
      </c>
      <c r="F116" s="2" t="str">
        <f>"Q"&amp;ROUNDUP(MONTH(Sales[[#This Row],[Date]])/3,0)</f>
        <v>Q4</v>
      </c>
    </row>
    <row r="117" spans="1:6" x14ac:dyDescent="0.45">
      <c r="A117" s="4">
        <v>45945</v>
      </c>
      <c r="B117" s="2" t="s">
        <v>10</v>
      </c>
      <c r="C117" s="2" t="s">
        <v>17</v>
      </c>
      <c r="D117" s="2">
        <v>61</v>
      </c>
      <c r="E117" s="3">
        <f>Sales[[#This Row],[Units]]*_xlfn.XLOOKUP(Sales[[#This Row],[Product]],Prices[Product],Prices[Price])</f>
        <v>7869</v>
      </c>
      <c r="F117" s="2" t="str">
        <f>"Q"&amp;ROUNDUP(MONTH(Sales[[#This Row],[Date]])/3,0)</f>
        <v>Q4</v>
      </c>
    </row>
    <row r="118" spans="1:6" x14ac:dyDescent="0.45">
      <c r="A118" s="4">
        <v>45945</v>
      </c>
      <c r="B118" s="2" t="s">
        <v>10</v>
      </c>
      <c r="C118" s="2" t="s">
        <v>18</v>
      </c>
      <c r="D118" s="2">
        <v>16</v>
      </c>
      <c r="E118" s="3">
        <f>Sales[[#This Row],[Units]]*_xlfn.XLOOKUP(Sales[[#This Row],[Product]],Prices[Product],Prices[Price])</f>
        <v>6384</v>
      </c>
      <c r="F118" s="2" t="str">
        <f>"Q"&amp;ROUNDUP(MONTH(Sales[[#This Row],[Date]])/3,0)</f>
        <v>Q4</v>
      </c>
    </row>
    <row r="119" spans="1:6" x14ac:dyDescent="0.45">
      <c r="A119" s="4">
        <v>45945</v>
      </c>
      <c r="B119" s="2" t="s">
        <v>11</v>
      </c>
      <c r="C119" s="2" t="s">
        <v>16</v>
      </c>
      <c r="D119" s="2">
        <v>234</v>
      </c>
      <c r="E119" s="3">
        <f>Sales[[#This Row],[Units]]*_xlfn.XLOOKUP(Sales[[#This Row],[Product]],Prices[Product],Prices[Price])</f>
        <v>11466</v>
      </c>
      <c r="F119" s="2" t="str">
        <f>"Q"&amp;ROUNDUP(MONTH(Sales[[#This Row],[Date]])/3,0)</f>
        <v>Q4</v>
      </c>
    </row>
    <row r="120" spans="1:6" x14ac:dyDescent="0.45">
      <c r="A120" s="4">
        <v>45945</v>
      </c>
      <c r="B120" s="2" t="s">
        <v>11</v>
      </c>
      <c r="C120" s="2" t="s">
        <v>17</v>
      </c>
      <c r="D120" s="2">
        <v>100</v>
      </c>
      <c r="E120" s="3">
        <f>Sales[[#This Row],[Units]]*_xlfn.XLOOKUP(Sales[[#This Row],[Product]],Prices[Product],Prices[Price])</f>
        <v>12900</v>
      </c>
      <c r="F120" s="2" t="str">
        <f>"Q"&amp;ROUNDUP(MONTH(Sales[[#This Row],[Date]])/3,0)</f>
        <v>Q4</v>
      </c>
    </row>
    <row r="121" spans="1:6" x14ac:dyDescent="0.45">
      <c r="A121" s="4">
        <v>45945</v>
      </c>
      <c r="B121" s="2" t="s">
        <v>11</v>
      </c>
      <c r="C121" s="2" t="s">
        <v>18</v>
      </c>
      <c r="D121" s="2">
        <v>25</v>
      </c>
      <c r="E121" s="3">
        <f>Sales[[#This Row],[Units]]*_xlfn.XLOOKUP(Sales[[#This Row],[Product]],Prices[Product],Prices[Price])</f>
        <v>9975</v>
      </c>
      <c r="F121" s="2" t="str">
        <f>"Q"&amp;ROUNDUP(MONTH(Sales[[#This Row],[Date]])/3,0)</f>
        <v>Q4</v>
      </c>
    </row>
    <row r="122" spans="1:6" x14ac:dyDescent="0.45">
      <c r="A122" s="4">
        <v>45976</v>
      </c>
      <c r="B122" s="2" t="s">
        <v>8</v>
      </c>
      <c r="C122" s="2" t="s">
        <v>16</v>
      </c>
      <c r="D122" s="2">
        <v>191</v>
      </c>
      <c r="E122" s="3">
        <f>Sales[[#This Row],[Units]]*_xlfn.XLOOKUP(Sales[[#This Row],[Product]],Prices[Product],Prices[Price])</f>
        <v>9359</v>
      </c>
      <c r="F122" s="2" t="str">
        <f>"Q"&amp;ROUNDUP(MONTH(Sales[[#This Row],[Date]])/3,0)</f>
        <v>Q4</v>
      </c>
    </row>
    <row r="123" spans="1:6" x14ac:dyDescent="0.45">
      <c r="A123" s="4">
        <v>45976</v>
      </c>
      <c r="B123" s="2" t="s">
        <v>8</v>
      </c>
      <c r="C123" s="2" t="s">
        <v>17</v>
      </c>
      <c r="D123" s="2">
        <v>83</v>
      </c>
      <c r="E123" s="3">
        <f>Sales[[#This Row],[Units]]*_xlfn.XLOOKUP(Sales[[#This Row],[Product]],Prices[Product],Prices[Price])</f>
        <v>10707</v>
      </c>
      <c r="F123" s="2" t="str">
        <f>"Q"&amp;ROUNDUP(MONTH(Sales[[#This Row],[Date]])/3,0)</f>
        <v>Q4</v>
      </c>
    </row>
    <row r="124" spans="1:6" x14ac:dyDescent="0.45">
      <c r="A124" s="4">
        <v>45976</v>
      </c>
      <c r="B124" s="2" t="s">
        <v>8</v>
      </c>
      <c r="C124" s="2" t="s">
        <v>18</v>
      </c>
      <c r="D124" s="2">
        <v>24</v>
      </c>
      <c r="E124" s="3">
        <f>Sales[[#This Row],[Units]]*_xlfn.XLOOKUP(Sales[[#This Row],[Product]],Prices[Product],Prices[Price])</f>
        <v>9576</v>
      </c>
      <c r="F124" s="2" t="str">
        <f>"Q"&amp;ROUNDUP(MONTH(Sales[[#This Row],[Date]])/3,0)</f>
        <v>Q4</v>
      </c>
    </row>
    <row r="125" spans="1:6" x14ac:dyDescent="0.45">
      <c r="A125" s="4">
        <v>45976</v>
      </c>
      <c r="B125" s="2" t="s">
        <v>9</v>
      </c>
      <c r="C125" s="2" t="s">
        <v>16</v>
      </c>
      <c r="D125" s="2">
        <v>133</v>
      </c>
      <c r="E125" s="3">
        <f>Sales[[#This Row],[Units]]*_xlfn.XLOOKUP(Sales[[#This Row],[Product]],Prices[Product],Prices[Price])</f>
        <v>6517</v>
      </c>
      <c r="F125" s="2" t="str">
        <f>"Q"&amp;ROUNDUP(MONTH(Sales[[#This Row],[Date]])/3,0)</f>
        <v>Q4</v>
      </c>
    </row>
    <row r="126" spans="1:6" x14ac:dyDescent="0.45">
      <c r="A126" s="4">
        <v>45976</v>
      </c>
      <c r="B126" s="2" t="s">
        <v>9</v>
      </c>
      <c r="C126" s="2" t="s">
        <v>17</v>
      </c>
      <c r="D126" s="2">
        <v>85</v>
      </c>
      <c r="E126" s="3">
        <f>Sales[[#This Row],[Units]]*_xlfn.XLOOKUP(Sales[[#This Row],[Product]],Prices[Product],Prices[Price])</f>
        <v>10965</v>
      </c>
      <c r="F126" s="2" t="str">
        <f>"Q"&amp;ROUNDUP(MONTH(Sales[[#This Row],[Date]])/3,0)</f>
        <v>Q4</v>
      </c>
    </row>
    <row r="127" spans="1:6" x14ac:dyDescent="0.45">
      <c r="A127" s="4">
        <v>45976</v>
      </c>
      <c r="B127" s="2" t="s">
        <v>9</v>
      </c>
      <c r="C127" s="2" t="s">
        <v>18</v>
      </c>
      <c r="D127" s="2">
        <v>19</v>
      </c>
      <c r="E127" s="3">
        <f>Sales[[#This Row],[Units]]*_xlfn.XLOOKUP(Sales[[#This Row],[Product]],Prices[Product],Prices[Price])</f>
        <v>7581</v>
      </c>
      <c r="F127" s="2" t="str">
        <f>"Q"&amp;ROUNDUP(MONTH(Sales[[#This Row],[Date]])/3,0)</f>
        <v>Q4</v>
      </c>
    </row>
    <row r="128" spans="1:6" x14ac:dyDescent="0.45">
      <c r="A128" s="4">
        <v>45976</v>
      </c>
      <c r="B128" s="2" t="s">
        <v>10</v>
      </c>
      <c r="C128" s="2" t="s">
        <v>16</v>
      </c>
      <c r="D128" s="2">
        <v>187</v>
      </c>
      <c r="E128" s="3">
        <f>Sales[[#This Row],[Units]]*_xlfn.XLOOKUP(Sales[[#This Row],[Product]],Prices[Product],Prices[Price])</f>
        <v>9163</v>
      </c>
      <c r="F128" s="2" t="str">
        <f>"Q"&amp;ROUNDUP(MONTH(Sales[[#This Row],[Date]])/3,0)</f>
        <v>Q4</v>
      </c>
    </row>
    <row r="129" spans="1:6" x14ac:dyDescent="0.45">
      <c r="A129" s="4">
        <v>45976</v>
      </c>
      <c r="B129" s="2" t="s">
        <v>10</v>
      </c>
      <c r="C129" s="2" t="s">
        <v>17</v>
      </c>
      <c r="D129" s="2">
        <v>75</v>
      </c>
      <c r="E129" s="3">
        <f>Sales[[#This Row],[Units]]*_xlfn.XLOOKUP(Sales[[#This Row],[Product]],Prices[Product],Prices[Price])</f>
        <v>9675</v>
      </c>
      <c r="F129" s="2" t="str">
        <f>"Q"&amp;ROUNDUP(MONTH(Sales[[#This Row],[Date]])/3,0)</f>
        <v>Q4</v>
      </c>
    </row>
    <row r="130" spans="1:6" x14ac:dyDescent="0.45">
      <c r="A130" s="4">
        <v>45976</v>
      </c>
      <c r="B130" s="2" t="s">
        <v>10</v>
      </c>
      <c r="C130" s="2" t="s">
        <v>18</v>
      </c>
      <c r="D130" s="2">
        <v>21</v>
      </c>
      <c r="E130" s="3">
        <f>Sales[[#This Row],[Units]]*_xlfn.XLOOKUP(Sales[[#This Row],[Product]],Prices[Product],Prices[Price])</f>
        <v>8379</v>
      </c>
      <c r="F130" s="2" t="str">
        <f>"Q"&amp;ROUNDUP(MONTH(Sales[[#This Row],[Date]])/3,0)</f>
        <v>Q4</v>
      </c>
    </row>
    <row r="131" spans="1:6" x14ac:dyDescent="0.45">
      <c r="A131" s="4">
        <v>45976</v>
      </c>
      <c r="B131" s="2" t="s">
        <v>11</v>
      </c>
      <c r="C131" s="2" t="s">
        <v>16</v>
      </c>
      <c r="D131" s="2">
        <v>192</v>
      </c>
      <c r="E131" s="3">
        <f>Sales[[#This Row],[Units]]*_xlfn.XLOOKUP(Sales[[#This Row],[Product]],Prices[Product],Prices[Price])</f>
        <v>9408</v>
      </c>
      <c r="F131" s="2" t="str">
        <f>"Q"&amp;ROUNDUP(MONTH(Sales[[#This Row],[Date]])/3,0)</f>
        <v>Q4</v>
      </c>
    </row>
    <row r="132" spans="1:6" x14ac:dyDescent="0.45">
      <c r="A132" s="4">
        <v>45976</v>
      </c>
      <c r="B132" s="2" t="s">
        <v>11</v>
      </c>
      <c r="C132" s="2" t="s">
        <v>17</v>
      </c>
      <c r="D132" s="2">
        <v>106</v>
      </c>
      <c r="E132" s="3">
        <f>Sales[[#This Row],[Units]]*_xlfn.XLOOKUP(Sales[[#This Row],[Product]],Prices[Product],Prices[Price])</f>
        <v>13674</v>
      </c>
      <c r="F132" s="2" t="str">
        <f>"Q"&amp;ROUNDUP(MONTH(Sales[[#This Row],[Date]])/3,0)</f>
        <v>Q4</v>
      </c>
    </row>
    <row r="133" spans="1:6" x14ac:dyDescent="0.45">
      <c r="A133" s="4">
        <v>45976</v>
      </c>
      <c r="B133" s="2" t="s">
        <v>11</v>
      </c>
      <c r="C133" s="2" t="s">
        <v>18</v>
      </c>
      <c r="D133" s="2">
        <v>27</v>
      </c>
      <c r="E133" s="3">
        <f>Sales[[#This Row],[Units]]*_xlfn.XLOOKUP(Sales[[#This Row],[Product]],Prices[Product],Prices[Price])</f>
        <v>10773</v>
      </c>
      <c r="F133" s="2" t="str">
        <f>"Q"&amp;ROUNDUP(MONTH(Sales[[#This Row],[Date]])/3,0)</f>
        <v>Q4</v>
      </c>
    </row>
    <row r="134" spans="1:6" x14ac:dyDescent="0.45">
      <c r="A134" s="4">
        <v>46006</v>
      </c>
      <c r="B134" s="2" t="s">
        <v>8</v>
      </c>
      <c r="C134" s="2" t="s">
        <v>16</v>
      </c>
      <c r="D134" s="2">
        <v>226</v>
      </c>
      <c r="E134" s="3">
        <f>Sales[[#This Row],[Units]]*_xlfn.XLOOKUP(Sales[[#This Row],[Product]],Prices[Product],Prices[Price])</f>
        <v>11074</v>
      </c>
      <c r="F134" s="2" t="str">
        <f>"Q"&amp;ROUNDUP(MONTH(Sales[[#This Row],[Date]])/3,0)</f>
        <v>Q4</v>
      </c>
    </row>
    <row r="135" spans="1:6" x14ac:dyDescent="0.45">
      <c r="A135" s="4">
        <v>46006</v>
      </c>
      <c r="B135" s="2" t="s">
        <v>8</v>
      </c>
      <c r="C135" s="2" t="s">
        <v>17</v>
      </c>
      <c r="D135" s="2">
        <v>82</v>
      </c>
      <c r="E135" s="3">
        <f>Sales[[#This Row],[Units]]*_xlfn.XLOOKUP(Sales[[#This Row],[Product]],Prices[Product],Prices[Price])</f>
        <v>10578</v>
      </c>
      <c r="F135" s="2" t="str">
        <f>"Q"&amp;ROUNDUP(MONTH(Sales[[#This Row],[Date]])/3,0)</f>
        <v>Q4</v>
      </c>
    </row>
    <row r="136" spans="1:6" x14ac:dyDescent="0.45">
      <c r="A136" s="4">
        <v>46006</v>
      </c>
      <c r="B136" s="2" t="s">
        <v>8</v>
      </c>
      <c r="C136" s="2" t="s">
        <v>18</v>
      </c>
      <c r="D136" s="2">
        <v>26</v>
      </c>
      <c r="E136" s="3">
        <f>Sales[[#This Row],[Units]]*_xlfn.XLOOKUP(Sales[[#This Row],[Product]],Prices[Product],Prices[Price])</f>
        <v>10374</v>
      </c>
      <c r="F136" s="2" t="str">
        <f>"Q"&amp;ROUNDUP(MONTH(Sales[[#This Row],[Date]])/3,0)</f>
        <v>Q4</v>
      </c>
    </row>
    <row r="137" spans="1:6" x14ac:dyDescent="0.45">
      <c r="A137" s="4">
        <v>46006</v>
      </c>
      <c r="B137" s="2" t="s">
        <v>9</v>
      </c>
      <c r="C137" s="2" t="s">
        <v>16</v>
      </c>
      <c r="D137" s="2">
        <v>170</v>
      </c>
      <c r="E137" s="3">
        <f>Sales[[#This Row],[Units]]*_xlfn.XLOOKUP(Sales[[#This Row],[Product]],Prices[Product],Prices[Price])</f>
        <v>8330</v>
      </c>
      <c r="F137" s="2" t="str">
        <f>"Q"&amp;ROUNDUP(MONTH(Sales[[#This Row],[Date]])/3,0)</f>
        <v>Q4</v>
      </c>
    </row>
    <row r="138" spans="1:6" x14ac:dyDescent="0.45">
      <c r="A138" s="4">
        <v>46006</v>
      </c>
      <c r="B138" s="2" t="s">
        <v>9</v>
      </c>
      <c r="C138" s="2" t="s">
        <v>17</v>
      </c>
      <c r="D138" s="2">
        <v>93</v>
      </c>
      <c r="E138" s="3">
        <f>Sales[[#This Row],[Units]]*_xlfn.XLOOKUP(Sales[[#This Row],[Product]],Prices[Product],Prices[Price])</f>
        <v>11997</v>
      </c>
      <c r="F138" s="2" t="str">
        <f>"Q"&amp;ROUNDUP(MONTH(Sales[[#This Row],[Date]])/3,0)</f>
        <v>Q4</v>
      </c>
    </row>
    <row r="139" spans="1:6" x14ac:dyDescent="0.45">
      <c r="A139" s="4">
        <v>46006</v>
      </c>
      <c r="B139" s="2" t="s">
        <v>9</v>
      </c>
      <c r="C139" s="2" t="s">
        <v>18</v>
      </c>
      <c r="D139" s="2">
        <v>21</v>
      </c>
      <c r="E139" s="3">
        <f>Sales[[#This Row],[Units]]*_xlfn.XLOOKUP(Sales[[#This Row],[Product]],Prices[Product],Prices[Price])</f>
        <v>8379</v>
      </c>
      <c r="F139" s="2" t="str">
        <f>"Q"&amp;ROUNDUP(MONTH(Sales[[#This Row],[Date]])/3,0)</f>
        <v>Q4</v>
      </c>
    </row>
    <row r="140" spans="1:6" x14ac:dyDescent="0.45">
      <c r="A140" s="4">
        <v>46006</v>
      </c>
      <c r="B140" s="2" t="s">
        <v>10</v>
      </c>
      <c r="C140" s="2" t="s">
        <v>16</v>
      </c>
      <c r="D140" s="2">
        <v>151</v>
      </c>
      <c r="E140" s="3">
        <f>Sales[[#This Row],[Units]]*_xlfn.XLOOKUP(Sales[[#This Row],[Product]],Prices[Product],Prices[Price])</f>
        <v>7399</v>
      </c>
      <c r="F140" s="2" t="str">
        <f>"Q"&amp;ROUNDUP(MONTH(Sales[[#This Row],[Date]])/3,0)</f>
        <v>Q4</v>
      </c>
    </row>
    <row r="141" spans="1:6" x14ac:dyDescent="0.45">
      <c r="A141" s="4">
        <v>46006</v>
      </c>
      <c r="B141" s="2" t="s">
        <v>10</v>
      </c>
      <c r="C141" s="2" t="s">
        <v>17</v>
      </c>
      <c r="D141" s="2">
        <v>70</v>
      </c>
      <c r="E141" s="3">
        <f>Sales[[#This Row],[Units]]*_xlfn.XLOOKUP(Sales[[#This Row],[Product]],Prices[Product],Prices[Price])</f>
        <v>9030</v>
      </c>
      <c r="F141" s="2" t="str">
        <f>"Q"&amp;ROUNDUP(MONTH(Sales[[#This Row],[Date]])/3,0)</f>
        <v>Q4</v>
      </c>
    </row>
    <row r="142" spans="1:6" x14ac:dyDescent="0.45">
      <c r="A142" s="4">
        <v>46006</v>
      </c>
      <c r="B142" s="2" t="s">
        <v>10</v>
      </c>
      <c r="C142" s="2" t="s">
        <v>18</v>
      </c>
      <c r="D142" s="2">
        <v>16</v>
      </c>
      <c r="E142" s="3">
        <f>Sales[[#This Row],[Units]]*_xlfn.XLOOKUP(Sales[[#This Row],[Product]],Prices[Product],Prices[Price])</f>
        <v>6384</v>
      </c>
      <c r="F142" s="2" t="str">
        <f>"Q"&amp;ROUNDUP(MONTH(Sales[[#This Row],[Date]])/3,0)</f>
        <v>Q4</v>
      </c>
    </row>
    <row r="143" spans="1:6" x14ac:dyDescent="0.45">
      <c r="A143" s="4">
        <v>46006</v>
      </c>
      <c r="B143" s="2" t="s">
        <v>11</v>
      </c>
      <c r="C143" s="2" t="s">
        <v>16</v>
      </c>
      <c r="D143" s="2">
        <v>225</v>
      </c>
      <c r="E143" s="3">
        <f>Sales[[#This Row],[Units]]*_xlfn.XLOOKUP(Sales[[#This Row],[Product]],Prices[Product],Prices[Price])</f>
        <v>11025</v>
      </c>
      <c r="F143" s="2" t="str">
        <f>"Q"&amp;ROUNDUP(MONTH(Sales[[#This Row],[Date]])/3,0)</f>
        <v>Q4</v>
      </c>
    </row>
    <row r="144" spans="1:6" x14ac:dyDescent="0.45">
      <c r="A144" s="4">
        <v>46006</v>
      </c>
      <c r="B144" s="2" t="s">
        <v>11</v>
      </c>
      <c r="C144" s="2" t="s">
        <v>17</v>
      </c>
      <c r="D144" s="2">
        <v>109</v>
      </c>
      <c r="E144" s="3">
        <f>Sales[[#This Row],[Units]]*_xlfn.XLOOKUP(Sales[[#This Row],[Product]],Prices[Product],Prices[Price])</f>
        <v>14061</v>
      </c>
      <c r="F144" s="2" t="str">
        <f>"Q"&amp;ROUNDUP(MONTH(Sales[[#This Row],[Date]])/3,0)</f>
        <v>Q4</v>
      </c>
    </row>
    <row r="145" spans="1:6" x14ac:dyDescent="0.45">
      <c r="A145" s="4">
        <v>46006</v>
      </c>
      <c r="B145" s="2" t="s">
        <v>11</v>
      </c>
      <c r="C145" s="2" t="s">
        <v>18</v>
      </c>
      <c r="D145" s="2">
        <v>32</v>
      </c>
      <c r="E145" s="3">
        <f>Sales[[#This Row],[Units]]*_xlfn.XLOOKUP(Sales[[#This Row],[Product]],Prices[Product],Prices[Price])</f>
        <v>12768</v>
      </c>
      <c r="F145" s="2" t="str">
        <f>"Q"&amp;ROUNDUP(MONTH(Sales[[#This Row],[Date]])/3,0)</f>
        <v>Q4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workbookViewId="0"/>
  </sheetViews>
  <sheetFormatPr defaultColWidth="8.6640625" defaultRowHeight="14.25" x14ac:dyDescent="0.45"/>
  <cols>
    <col min="1" max="1" width="16" customWidth="1"/>
    <col min="2" max="2" width="10" customWidth="1"/>
  </cols>
  <sheetData>
    <row r="1" spans="1:2" x14ac:dyDescent="0.45">
      <c r="A1" s="1" t="s">
        <v>13</v>
      </c>
      <c r="B1" s="1" t="s">
        <v>21</v>
      </c>
    </row>
    <row r="2" spans="1:2" x14ac:dyDescent="0.45">
      <c r="A2" s="2" t="s">
        <v>16</v>
      </c>
      <c r="B2" s="3">
        <v>49</v>
      </c>
    </row>
    <row r="3" spans="1:2" x14ac:dyDescent="0.45">
      <c r="A3" s="2" t="s">
        <v>17</v>
      </c>
      <c r="B3" s="3">
        <v>129</v>
      </c>
    </row>
    <row r="4" spans="1:2" x14ac:dyDescent="0.45">
      <c r="A4" s="2" t="s">
        <v>18</v>
      </c>
      <c r="B4" s="3">
        <v>399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Raw Data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George Mount</cp:lastModifiedBy>
  <cp:revision>1</cp:revision>
  <dcterms:created xsi:type="dcterms:W3CDTF">2026-08-05T17:57:36Z</dcterms:created>
  <dcterms:modified xsi:type="dcterms:W3CDTF">2026-08-05T21:00:45Z</dcterms:modified>
  <dc:language>en-US</dc:language>
</cp:coreProperties>
</file>
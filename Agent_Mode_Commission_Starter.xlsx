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ommission_Tier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Sales" displayName="tblSales" ref="A1:E41" headerRowCount="1">
  <autoFilter ref="A1:E41"/>
  <tableColumns count="5">
    <tableColumn id="1" name="Date"/>
    <tableColumn id="2" name="Sales_Rep"/>
    <tableColumn id="3" name="Region"/>
    <tableColumn id="4" name="Revenue"/>
    <tableColumn id="5" name="Product_Catego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Tiers" displayName="tblTiers" ref="A1:D4" headerRowCount="1">
  <autoFilter ref="A1:D4"/>
  <tableColumns count="4">
    <tableColumn id="1" name="Tier"/>
    <tableColumn id="2" name="Min_Revenue"/>
    <tableColumn id="3" name="Max_Revenue"/>
    <tableColumn id="4" name="Commission_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Sales_Rep</t>
        </is>
      </c>
      <c r="C1" t="inlineStr">
        <is>
          <t>Region</t>
        </is>
      </c>
      <c r="D1" t="inlineStr">
        <is>
          <t>Revenue</t>
        </is>
      </c>
      <c r="E1" t="inlineStr">
        <is>
          <t>Product_Category</t>
        </is>
      </c>
    </row>
    <row r="2">
      <c r="A2" s="1" t="n">
        <v>46047</v>
      </c>
      <c r="B2" t="inlineStr">
        <is>
          <t>Riley</t>
        </is>
      </c>
      <c r="C2" t="inlineStr">
        <is>
          <t>West</t>
        </is>
      </c>
      <c r="D2" t="n">
        <v>3011</v>
      </c>
      <c r="E2" t="inlineStr">
        <is>
          <t>A</t>
        </is>
      </c>
    </row>
    <row r="3">
      <c r="A3" s="1" t="n">
        <v>46038</v>
      </c>
      <c r="B3" t="inlineStr">
        <is>
          <t>Morgan</t>
        </is>
      </c>
      <c r="C3" t="inlineStr">
        <is>
          <t>West</t>
        </is>
      </c>
      <c r="D3" t="n">
        <v>13317</v>
      </c>
      <c r="E3" t="inlineStr">
        <is>
          <t>B</t>
        </is>
      </c>
    </row>
    <row r="4">
      <c r="A4" s="1" t="n">
        <v>46049</v>
      </c>
      <c r="B4" t="inlineStr">
        <is>
          <t>Morgan</t>
        </is>
      </c>
      <c r="C4" t="inlineStr">
        <is>
          <t>West</t>
        </is>
      </c>
      <c r="D4" t="n">
        <v>14976</v>
      </c>
      <c r="E4" t="inlineStr">
        <is>
          <t>C</t>
        </is>
      </c>
    </row>
    <row r="5">
      <c r="A5" s="1" t="n">
        <v>46024</v>
      </c>
      <c r="B5" t="inlineStr">
        <is>
          <t>Riley</t>
        </is>
      </c>
      <c r="C5" t="inlineStr">
        <is>
          <t>North</t>
        </is>
      </c>
      <c r="D5" t="n">
        <v>4608</v>
      </c>
      <c r="E5" t="inlineStr">
        <is>
          <t>C</t>
        </is>
      </c>
    </row>
    <row r="6">
      <c r="A6" s="1" t="n">
        <v>46049</v>
      </c>
      <c r="B6" t="inlineStr">
        <is>
          <t>Taylor</t>
        </is>
      </c>
      <c r="C6" t="inlineStr">
        <is>
          <t>West</t>
        </is>
      </c>
      <c r="D6" t="n">
        <v>10963</v>
      </c>
      <c r="E6" t="inlineStr">
        <is>
          <t>C</t>
        </is>
      </c>
    </row>
    <row r="7">
      <c r="A7" s="1" t="n">
        <v>46030</v>
      </c>
      <c r="B7" t="inlineStr">
        <is>
          <t>Jordan</t>
        </is>
      </c>
      <c r="C7" t="inlineStr">
        <is>
          <t>South</t>
        </is>
      </c>
      <c r="D7" t="n">
        <v>17702</v>
      </c>
      <c r="E7" t="inlineStr">
        <is>
          <t>C</t>
        </is>
      </c>
    </row>
    <row r="8">
      <c r="A8" s="1" t="n">
        <v>46024</v>
      </c>
      <c r="B8" t="inlineStr">
        <is>
          <t>Taylor</t>
        </is>
      </c>
      <c r="C8" t="inlineStr">
        <is>
          <t>East</t>
        </is>
      </c>
      <c r="D8" t="n">
        <v>3121</v>
      </c>
      <c r="E8" t="inlineStr">
        <is>
          <t>A</t>
        </is>
      </c>
    </row>
    <row r="9">
      <c r="A9" s="1" t="n">
        <v>46025</v>
      </c>
      <c r="B9" t="inlineStr">
        <is>
          <t>Taylor</t>
        </is>
      </c>
      <c r="C9" t="inlineStr">
        <is>
          <t>North</t>
        </is>
      </c>
      <c r="D9" t="n">
        <v>9472</v>
      </c>
      <c r="E9" t="inlineStr">
        <is>
          <t>C</t>
        </is>
      </c>
    </row>
    <row r="10">
      <c r="A10" s="1" t="n">
        <v>46028</v>
      </c>
      <c r="B10" t="inlineStr">
        <is>
          <t>Alex</t>
        </is>
      </c>
      <c r="C10" t="inlineStr">
        <is>
          <t>East</t>
        </is>
      </c>
      <c r="D10" t="n">
        <v>10581</v>
      </c>
      <c r="E10" t="inlineStr">
        <is>
          <t>B</t>
        </is>
      </c>
    </row>
    <row r="11">
      <c r="A11" s="1" t="n">
        <v>46043</v>
      </c>
      <c r="B11" t="inlineStr">
        <is>
          <t>Taylor</t>
        </is>
      </c>
      <c r="C11" t="inlineStr">
        <is>
          <t>East</t>
        </is>
      </c>
      <c r="D11" t="n">
        <v>15085</v>
      </c>
      <c r="E11" t="inlineStr">
        <is>
          <t>C</t>
        </is>
      </c>
    </row>
    <row r="12">
      <c r="A12" s="1" t="n">
        <v>46026</v>
      </c>
      <c r="B12" t="inlineStr">
        <is>
          <t>Alex</t>
        </is>
      </c>
      <c r="C12" t="inlineStr">
        <is>
          <t>West</t>
        </is>
      </c>
      <c r="D12" t="n">
        <v>17799</v>
      </c>
      <c r="E12" t="inlineStr">
        <is>
          <t>C</t>
        </is>
      </c>
    </row>
    <row r="13">
      <c r="A13" s="1" t="n">
        <v>46036</v>
      </c>
      <c r="B13" t="inlineStr">
        <is>
          <t>Jordan</t>
        </is>
      </c>
      <c r="C13" t="inlineStr">
        <is>
          <t>South</t>
        </is>
      </c>
      <c r="D13" t="n">
        <v>17646</v>
      </c>
      <c r="E13" t="inlineStr">
        <is>
          <t>B</t>
        </is>
      </c>
    </row>
    <row r="14">
      <c r="A14" s="1" t="n">
        <v>46037</v>
      </c>
      <c r="B14" t="inlineStr">
        <is>
          <t>Morgan</t>
        </is>
      </c>
      <c r="C14" t="inlineStr">
        <is>
          <t>East</t>
        </is>
      </c>
      <c r="D14" t="n">
        <v>15792</v>
      </c>
      <c r="E14" t="inlineStr">
        <is>
          <t>A</t>
        </is>
      </c>
    </row>
    <row r="15">
      <c r="A15" s="1" t="n">
        <v>46037</v>
      </c>
      <c r="B15" t="inlineStr">
        <is>
          <t>Taylor</t>
        </is>
      </c>
      <c r="C15" t="inlineStr">
        <is>
          <t>East</t>
        </is>
      </c>
      <c r="D15" t="n">
        <v>5557</v>
      </c>
      <c r="E15" t="inlineStr">
        <is>
          <t>C</t>
        </is>
      </c>
    </row>
    <row r="16">
      <c r="A16" s="1" t="n">
        <v>46039</v>
      </c>
      <c r="B16" t="inlineStr">
        <is>
          <t>Alex</t>
        </is>
      </c>
      <c r="C16" t="inlineStr">
        <is>
          <t>West</t>
        </is>
      </c>
      <c r="D16" t="n">
        <v>14351</v>
      </c>
      <c r="E16" t="inlineStr">
        <is>
          <t>A</t>
        </is>
      </c>
    </row>
    <row r="17">
      <c r="A17" s="1" t="n">
        <v>46030</v>
      </c>
      <c r="B17" t="inlineStr">
        <is>
          <t>Morgan</t>
        </is>
      </c>
      <c r="C17" t="inlineStr">
        <is>
          <t>North</t>
        </is>
      </c>
      <c r="D17" t="n">
        <v>12858</v>
      </c>
      <c r="E17" t="inlineStr">
        <is>
          <t>B</t>
        </is>
      </c>
    </row>
    <row r="18">
      <c r="A18" s="1" t="n">
        <v>46032</v>
      </c>
      <c r="B18" t="inlineStr">
        <is>
          <t>Jordan</t>
        </is>
      </c>
      <c r="C18" t="inlineStr">
        <is>
          <t>North</t>
        </is>
      </c>
      <c r="D18" t="n">
        <v>6073</v>
      </c>
      <c r="E18" t="inlineStr">
        <is>
          <t>C</t>
        </is>
      </c>
    </row>
    <row r="19">
      <c r="A19" s="1" t="n">
        <v>46038</v>
      </c>
      <c r="B19" t="inlineStr">
        <is>
          <t>Riley</t>
        </is>
      </c>
      <c r="C19" t="inlineStr">
        <is>
          <t>North</t>
        </is>
      </c>
      <c r="D19" t="n">
        <v>19458</v>
      </c>
      <c r="E19" t="inlineStr">
        <is>
          <t>B</t>
        </is>
      </c>
    </row>
    <row r="20">
      <c r="A20" s="1" t="n">
        <v>46050</v>
      </c>
      <c r="B20" t="inlineStr">
        <is>
          <t>Jordan</t>
        </is>
      </c>
      <c r="C20" t="inlineStr">
        <is>
          <t>West</t>
        </is>
      </c>
      <c r="D20" t="n">
        <v>11117</v>
      </c>
      <c r="E20" t="inlineStr">
        <is>
          <t>B</t>
        </is>
      </c>
    </row>
    <row r="21">
      <c r="A21" s="1" t="n">
        <v>46031</v>
      </c>
      <c r="B21" t="inlineStr">
        <is>
          <t>Taylor</t>
        </is>
      </c>
      <c r="C21" t="inlineStr">
        <is>
          <t>West</t>
        </is>
      </c>
      <c r="D21" t="n">
        <v>16454</v>
      </c>
      <c r="E21" t="inlineStr">
        <is>
          <t>A</t>
        </is>
      </c>
    </row>
    <row r="22">
      <c r="A22" s="1" t="n">
        <v>46038</v>
      </c>
      <c r="B22" t="inlineStr">
        <is>
          <t>Taylor</t>
        </is>
      </c>
      <c r="C22" t="inlineStr">
        <is>
          <t>South</t>
        </is>
      </c>
      <c r="D22" t="n">
        <v>5989</v>
      </c>
      <c r="E22" t="inlineStr">
        <is>
          <t>C</t>
        </is>
      </c>
    </row>
    <row r="23">
      <c r="A23" s="1" t="n">
        <v>46032</v>
      </c>
      <c r="B23" t="inlineStr">
        <is>
          <t>Taylor</t>
        </is>
      </c>
      <c r="C23" t="inlineStr">
        <is>
          <t>East</t>
        </is>
      </c>
      <c r="D23" t="n">
        <v>11724</v>
      </c>
      <c r="E23" t="inlineStr">
        <is>
          <t>C</t>
        </is>
      </c>
    </row>
    <row r="24">
      <c r="A24" s="1" t="n">
        <v>46037</v>
      </c>
      <c r="B24" t="inlineStr">
        <is>
          <t>Riley</t>
        </is>
      </c>
      <c r="C24" t="inlineStr">
        <is>
          <t>North</t>
        </is>
      </c>
      <c r="D24" t="n">
        <v>18712</v>
      </c>
      <c r="E24" t="inlineStr">
        <is>
          <t>A</t>
        </is>
      </c>
    </row>
    <row r="25">
      <c r="A25" s="1" t="n">
        <v>46039</v>
      </c>
      <c r="B25" t="inlineStr">
        <is>
          <t>Riley</t>
        </is>
      </c>
      <c r="C25" t="inlineStr">
        <is>
          <t>North</t>
        </is>
      </c>
      <c r="D25" t="n">
        <v>5836</v>
      </c>
      <c r="E25" t="inlineStr">
        <is>
          <t>C</t>
        </is>
      </c>
    </row>
    <row r="26">
      <c r="A26" s="1" t="n">
        <v>46037</v>
      </c>
      <c r="B26" t="inlineStr">
        <is>
          <t>Jordan</t>
        </is>
      </c>
      <c r="C26" t="inlineStr">
        <is>
          <t>North</t>
        </is>
      </c>
      <c r="D26" t="n">
        <v>19745</v>
      </c>
      <c r="E26" t="inlineStr">
        <is>
          <t>B</t>
        </is>
      </c>
    </row>
    <row r="27">
      <c r="A27" s="1" t="n">
        <v>46046</v>
      </c>
      <c r="B27" t="inlineStr">
        <is>
          <t>Taylor</t>
        </is>
      </c>
      <c r="C27" t="inlineStr">
        <is>
          <t>North</t>
        </is>
      </c>
      <c r="D27" t="n">
        <v>11308</v>
      </c>
      <c r="E27" t="inlineStr">
        <is>
          <t>A</t>
        </is>
      </c>
    </row>
    <row r="28">
      <c r="A28" s="1" t="n">
        <v>46028</v>
      </c>
      <c r="B28" t="inlineStr">
        <is>
          <t>Jordan</t>
        </is>
      </c>
      <c r="C28" t="inlineStr">
        <is>
          <t>North</t>
        </is>
      </c>
      <c r="D28" t="n">
        <v>3969</v>
      </c>
      <c r="E28" t="inlineStr">
        <is>
          <t>A</t>
        </is>
      </c>
    </row>
    <row r="29">
      <c r="A29" s="1" t="n">
        <v>46034</v>
      </c>
      <c r="B29" t="inlineStr">
        <is>
          <t>Riley</t>
        </is>
      </c>
      <c r="C29" t="inlineStr">
        <is>
          <t>West</t>
        </is>
      </c>
      <c r="D29" t="n">
        <v>17785</v>
      </c>
      <c r="E29" t="inlineStr">
        <is>
          <t>A</t>
        </is>
      </c>
    </row>
    <row r="30">
      <c r="A30" s="1" t="n">
        <v>46029</v>
      </c>
      <c r="B30" t="inlineStr">
        <is>
          <t>Riley</t>
        </is>
      </c>
      <c r="C30" t="inlineStr">
        <is>
          <t>South</t>
        </is>
      </c>
      <c r="D30" t="n">
        <v>6722</v>
      </c>
      <c r="E30" t="inlineStr">
        <is>
          <t>A</t>
        </is>
      </c>
    </row>
    <row r="31">
      <c r="A31" s="1" t="n">
        <v>46046</v>
      </c>
      <c r="B31" t="inlineStr">
        <is>
          <t>Morgan</t>
        </is>
      </c>
      <c r="C31" t="inlineStr">
        <is>
          <t>West</t>
        </is>
      </c>
      <c r="D31" t="n">
        <v>15597</v>
      </c>
      <c r="E31" t="inlineStr">
        <is>
          <t>B</t>
        </is>
      </c>
    </row>
    <row r="32">
      <c r="A32" s="1" t="n">
        <v>46030</v>
      </c>
      <c r="B32" t="inlineStr">
        <is>
          <t>Riley</t>
        </is>
      </c>
      <c r="C32" t="inlineStr">
        <is>
          <t>South</t>
        </is>
      </c>
      <c r="D32" t="n">
        <v>3970</v>
      </c>
      <c r="E32" t="inlineStr">
        <is>
          <t>A</t>
        </is>
      </c>
    </row>
    <row r="33">
      <c r="A33" s="1" t="n">
        <v>46035</v>
      </c>
      <c r="B33" t="inlineStr">
        <is>
          <t>Morgan</t>
        </is>
      </c>
      <c r="C33" t="inlineStr">
        <is>
          <t>East</t>
        </is>
      </c>
      <c r="D33" t="n">
        <v>17067</v>
      </c>
      <c r="E33" t="inlineStr">
        <is>
          <t>B</t>
        </is>
      </c>
    </row>
    <row r="34">
      <c r="A34" s="1" t="n">
        <v>46028</v>
      </c>
      <c r="B34" t="inlineStr">
        <is>
          <t>Riley</t>
        </is>
      </c>
      <c r="C34" t="inlineStr">
        <is>
          <t>East</t>
        </is>
      </c>
      <c r="D34" t="n">
        <v>13540</v>
      </c>
      <c r="E34" t="inlineStr">
        <is>
          <t>B</t>
        </is>
      </c>
    </row>
    <row r="35">
      <c r="A35" s="1" t="n">
        <v>46026</v>
      </c>
      <c r="B35" t="inlineStr">
        <is>
          <t>Morgan</t>
        </is>
      </c>
      <c r="C35" t="inlineStr">
        <is>
          <t>North</t>
        </is>
      </c>
      <c r="D35" t="n">
        <v>18300</v>
      </c>
      <c r="E35" t="inlineStr">
        <is>
          <t>C</t>
        </is>
      </c>
    </row>
    <row r="36">
      <c r="A36" s="1" t="n">
        <v>46035</v>
      </c>
      <c r="B36" t="inlineStr">
        <is>
          <t>Alex</t>
        </is>
      </c>
      <c r="C36" t="inlineStr">
        <is>
          <t>East</t>
        </is>
      </c>
      <c r="D36" t="n">
        <v>7058</v>
      </c>
      <c r="E36" t="inlineStr">
        <is>
          <t>A</t>
        </is>
      </c>
    </row>
    <row r="37">
      <c r="A37" s="1" t="n">
        <v>46048</v>
      </c>
      <c r="B37" t="inlineStr">
        <is>
          <t>Riley</t>
        </is>
      </c>
      <c r="C37" t="inlineStr">
        <is>
          <t>South</t>
        </is>
      </c>
      <c r="D37" t="n">
        <v>3802</v>
      </c>
      <c r="E37" t="inlineStr">
        <is>
          <t>C</t>
        </is>
      </c>
    </row>
    <row r="38">
      <c r="A38" s="1" t="n">
        <v>46048</v>
      </c>
      <c r="B38" t="inlineStr">
        <is>
          <t>Jordan</t>
        </is>
      </c>
      <c r="C38" t="inlineStr">
        <is>
          <t>East</t>
        </is>
      </c>
      <c r="D38" t="n">
        <v>17757</v>
      </c>
      <c r="E38" t="inlineStr">
        <is>
          <t>B</t>
        </is>
      </c>
    </row>
    <row r="39">
      <c r="A39" s="1" t="n">
        <v>46032</v>
      </c>
      <c r="B39" t="inlineStr">
        <is>
          <t>Morgan</t>
        </is>
      </c>
      <c r="C39" t="inlineStr">
        <is>
          <t>South</t>
        </is>
      </c>
      <c r="D39" t="n">
        <v>7838</v>
      </c>
      <c r="E39" t="inlineStr">
        <is>
          <t>B</t>
        </is>
      </c>
    </row>
    <row r="40">
      <c r="A40" s="1" t="n">
        <v>46037</v>
      </c>
      <c r="B40" t="inlineStr">
        <is>
          <t>Morgan</t>
        </is>
      </c>
      <c r="C40" t="inlineStr">
        <is>
          <t>East</t>
        </is>
      </c>
      <c r="D40" t="n">
        <v>7982</v>
      </c>
      <c r="E40" t="inlineStr">
        <is>
          <t>C</t>
        </is>
      </c>
    </row>
    <row r="41">
      <c r="A41" s="1" t="n">
        <v>46040</v>
      </c>
      <c r="B41" t="inlineStr">
        <is>
          <t>Alex</t>
        </is>
      </c>
      <c r="C41" t="inlineStr">
        <is>
          <t>West</t>
        </is>
      </c>
      <c r="D41" t="n">
        <v>16256</v>
      </c>
      <c r="E41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Min_Revenue</t>
        </is>
      </c>
      <c r="C1" t="inlineStr">
        <is>
          <t>Max_Revenue</t>
        </is>
      </c>
      <c r="D1" t="inlineStr">
        <is>
          <t>Commission_Rate</t>
        </is>
      </c>
    </row>
    <row r="2">
      <c r="A2" t="n">
        <v>1</v>
      </c>
      <c r="B2" t="n">
        <v>0</v>
      </c>
      <c r="C2" t="n">
        <v>25000</v>
      </c>
      <c r="D2" t="n">
        <v>0.03</v>
      </c>
    </row>
    <row r="3">
      <c r="A3" t="n">
        <v>2</v>
      </c>
      <c r="B3" t="n">
        <v>25001</v>
      </c>
      <c r="C3" t="n">
        <v>50000</v>
      </c>
      <c r="D3" t="n">
        <v>0.05</v>
      </c>
    </row>
    <row r="4">
      <c r="A4" t="n">
        <v>3</v>
      </c>
      <c r="B4" t="n">
        <v>50001</v>
      </c>
      <c r="C4" t="n">
        <v>100000</v>
      </c>
      <c r="D4" t="n">
        <v>0.07000000000000001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Cap % of Revenue</t>
        </is>
      </c>
      <c r="B1" t="n">
        <v>0.08</v>
      </c>
    </row>
    <row r="3">
      <c r="A3" t="inlineStr">
        <is>
          <t>Product A Bonus Override</t>
        </is>
      </c>
      <c r="B3" t="n">
        <v>0.01</v>
      </c>
    </row>
    <row r="5">
      <c r="A5" t="inlineStr">
        <is>
          <t>Bonus Trigger Threshold</t>
        </is>
      </c>
      <c r="B5" t="n">
        <v>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Sales_Rep</t>
        </is>
      </c>
      <c r="B1" t="inlineStr">
        <is>
          <t>Total_Revenue</t>
        </is>
      </c>
      <c r="C1" t="inlineStr">
        <is>
          <t>Tier</t>
        </is>
      </c>
      <c r="D1" t="inlineStr">
        <is>
          <t>Commission_Rate</t>
        </is>
      </c>
      <c r="E1" t="inlineStr">
        <is>
          <t>Base_Commission</t>
        </is>
      </c>
      <c r="F1" t="inlineStr">
        <is>
          <t>Adjusted_Commission</t>
        </is>
      </c>
    </row>
    <row r="2">
      <c r="A2" t="inlineStr">
        <is>
          <t>Alex</t>
        </is>
      </c>
      <c r="B2">
        <f>SUMIF(Transactions!B:B,A2,Transactions!D:D)</f>
        <v/>
      </c>
      <c r="C2">
        <f>IF(B2&lt;=25000,1,IF(B2&lt;=50000,2,3))</f>
        <v/>
      </c>
      <c r="D2">
        <f>VLOOKUP(C2,Commission_Tiers!A:D,4,FALSE)</f>
        <v/>
      </c>
      <c r="E2">
        <f>B2*D2</f>
        <v/>
      </c>
      <c r="F2">
        <f>MIN(E2,B2*Assumptions!B1)</f>
        <v/>
      </c>
    </row>
    <row r="3">
      <c r="A3" t="inlineStr">
        <is>
          <t>Jordan</t>
        </is>
      </c>
      <c r="B3">
        <f>SUMIF(Transactions!B:B,A3,Transactions!D:D)</f>
        <v/>
      </c>
      <c r="C3">
        <f>IF(B3&lt;=25000,1,IF(B3&lt;=50000,2,3))</f>
        <v/>
      </c>
      <c r="D3">
        <f>VLOOKUP(C3,Commission_Tiers!A:D,4,FALSE)</f>
        <v/>
      </c>
      <c r="E3">
        <f>B3*D3</f>
        <v/>
      </c>
      <c r="F3">
        <f>MIN(E3,B3*Assumptions!B1)</f>
        <v/>
      </c>
    </row>
    <row r="4">
      <c r="A4" t="inlineStr">
        <is>
          <t>Morgan</t>
        </is>
      </c>
      <c r="B4">
        <f>SUMIF(Transactions!B:B,A4,Transactions!D:D)</f>
        <v/>
      </c>
      <c r="C4">
        <f>IF(B4&lt;=25000,1,IF(B4&lt;=50000,2,3))</f>
        <v/>
      </c>
      <c r="D4">
        <f>VLOOKUP(C4,Commission_Tiers!A:D,4,FALSE)</f>
        <v/>
      </c>
      <c r="E4">
        <f>B4*D4</f>
        <v/>
      </c>
      <c r="F4">
        <f>MIN(E4,B4*Assumptions!B1)</f>
        <v/>
      </c>
    </row>
    <row r="5">
      <c r="A5" t="inlineStr">
        <is>
          <t>Taylor</t>
        </is>
      </c>
      <c r="B5">
        <f>SUMIF(Transactions!B:B,A5,Transactions!D:D)</f>
        <v/>
      </c>
      <c r="C5">
        <f>IF(B5&lt;=25000,1,IF(B5&lt;=50000,2,3))</f>
        <v/>
      </c>
      <c r="D5">
        <f>VLOOKUP(C5,Commission_Tiers!A:D,4,FALSE)</f>
        <v/>
      </c>
      <c r="E5">
        <f>B5*D5</f>
        <v/>
      </c>
      <c r="F5">
        <f>MIN(E5,B5*Assumptions!B1)</f>
        <v/>
      </c>
    </row>
    <row r="6">
      <c r="A6" t="inlineStr">
        <is>
          <t>Riley</t>
        </is>
      </c>
      <c r="B6">
        <f>SUMIF(Transactions!B:B,A6,Transactions!D:D)</f>
        <v/>
      </c>
      <c r="C6">
        <f>IF(B6&lt;=25000,1,IF(B6&lt;=50000,2,3))</f>
        <v/>
      </c>
      <c r="D6">
        <f>VLOOKUP(C6,Commission_Tiers!A:D,4,FALSE)</f>
        <v/>
      </c>
      <c r="E6">
        <f>B6*D6</f>
        <v/>
      </c>
      <c r="F6">
        <f>MIN(E6,B6*Assumptions!B1)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 Check (Model)</t>
        </is>
      </c>
      <c r="B1">
        <f>SUM(Model!B2:B6)</f>
        <v/>
      </c>
    </row>
    <row r="2">
      <c r="A2" t="inlineStr">
        <is>
          <t>Total Revenue Check (Transactions)</t>
        </is>
      </c>
      <c r="B2">
        <f>SUM(Transactions!D:D)</f>
        <v/>
      </c>
    </row>
    <row r="3">
      <c r="A3" t="inlineStr">
        <is>
          <t>Revenue Reconciles?</t>
        </is>
      </c>
      <c r="B3">
        <f>IF(B1=B2,"OK","Mismatch")</f>
        <v/>
      </c>
    </row>
    <row r="5">
      <c r="A5" t="inlineStr">
        <is>
          <t>Any Commission Over Cap?</t>
        </is>
      </c>
      <c r="B5">
        <f>IF(COUNTIF(Model!F2:F6,"&gt;"&amp;Model!B2:B6*Assumptions!B1)&gt;0,"Check Caps","OK")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2026-02-16T22:30:44Z</dcterms:created>
  <dcterms:modified xmlns:dcterms="http://purl.org/dc/terms/" xmlns:xsi="http://www.w3.org/2001/XMLSchema-instance" xsi:type="dcterms:W3CDTF">2026-02-16T22:30:44Z</dcterms:modified>
</cp:coreProperties>
</file>
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1_{0BB60676-088A-457A-8C8D-0EB2D1AAE7AB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Monthly_Returns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 a="1"/>
  <c r="I9" i="1" s="1" a="1"/>
  <c r="I16" i="1" s="1" a="1"/>
  <c r="I24" i="1" s="1" a="1"/>
  <c r="I27" i="1" s="1" a="1"/>
  <c r="I34" i="1" s="1" a="1"/>
  <c r="I36" i="1" s="1" a="1"/>
  <c r="I45" i="1" s="1" a="1"/>
  <c r="I50" i="1" s="1" a="1"/>
  <c r="I50" i="1"/>
  <c r="I45" i="1"/>
  <c r="I36" i="1"/>
  <c r="I34" i="1"/>
  <c r="I27" i="1"/>
  <c r="I24" i="1"/>
  <c r="I16" i="1"/>
  <c r="I9" i="1"/>
  <c r="I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</futureMetadata>
  <cellMetadata count="1">
    <bk>
      <rc t="1" v="0"/>
    </bk>
  </cellMetadata>
  <valueMetadata count="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from scipy.optimize import minimize
returns = xl(%P2%, headers=True)
returns = returns.set_index("Date")
returns.head()
</code>
    </pythonScript>
    <pythonScript>
      <code>mean_returns = returns.mean()
cov_matrix = returns.cov()
mean_returns.head()</code>
    </pythonScript>
    <pythonScript>
      <code>n_assets = len(mean_returns)
starting_weights = np.repeat(1 / n_assets, n_assets)
starting_weights</code>
    </pythonScript>
    <pythonScript>
      <code>def portfolio_variance(weights, cov_matrix):
    return weights @ cov_matrix @ weights</code>
    </pythonScript>
    <pythonScript>
      <code>constraints = [
    {
        "type": "eq",
        "fun": lambda weights: np.sum(weights) - 1
    }
]
bounds = [(0, 1) for asset in range(n_assets)]</code>
    </pythonScript>
    <pythonScript>
      <code>result = minimize(
    portfolio_variance,
    starting_weights,
    args=(cov_matrix,),
    method="SLSQP",
    bounds=bounds,
    constraints=constraints
)
result.success</code>
    </pythonScript>
    <pythonScript>
      <code>optimal_weights = pd.DataFrame({
    "Asset": returns.columns,
    "Weight": result.x
})
optimal_weights</code>
    </pythonScript>
    <pythonScript>
      <code>portfolio_return = result.x @ mean_returns
portfolio_risk = np.sqrt(result.x @ cov_matrix @ result.x)
summary = pd.DataFrame({
    "Metric": ["Expected Monthly Return", "Monthly Risk"],
    "Value": [portfolio_return, portfolio_risk]
})
summary</code>
    </pythonScript>
    <pythonScript>
      <code>optimal_weights.plot(
    x="Asset",
    y="Weight",
    kind="bar",
    legend=False,
    title="Minimum-Risk Portfolio Weights"
)
plt.ylabel("Portfolio Weight")
plt.xticks(rotation=45, ha="right")
plt.tight_layout()</code>
    </pythonScript>
  </pythonScripts>
</python>
</file>

<file path=xl/sharedStrings.xml><?xml version="1.0" encoding="utf-8"?>
<sst xmlns="http://schemas.openxmlformats.org/spreadsheetml/2006/main" count="20" uniqueCount="20">
  <si>
    <t>Date</t>
  </si>
  <si>
    <t>Broad Market ETF</t>
  </si>
  <si>
    <t>Growth ETF</t>
  </si>
  <si>
    <t>Value ETF</t>
  </si>
  <si>
    <t>Bond ETF</t>
  </si>
  <si>
    <t>Real Estate ETF</t>
  </si>
  <si>
    <t>Commodity ETF</t>
  </si>
  <si>
    <t>Portfolio Optimization Practice Dataset</t>
  </si>
  <si>
    <t>Purpose</t>
  </si>
  <si>
    <t>Practice minimum-variance portfolio optimization with Python in Excel.</t>
  </si>
  <si>
    <t>Unit</t>
  </si>
  <si>
    <t>Monthly returns stored as decimals, formatted as percentages.</t>
  </si>
  <si>
    <t>Rows</t>
  </si>
  <si>
    <t>72 monthly observations, January 2020 through December 2025.</t>
  </si>
  <si>
    <t>Assets</t>
  </si>
  <si>
    <t>Six simplified ETF-style return series.</t>
  </si>
  <si>
    <t>Note</t>
  </si>
  <si>
    <t>The data is simulated for teaching and does not represent actual investment performance.</t>
  </si>
  <si>
    <t>Suggested post</t>
  </si>
  <si>
    <t>How to build a minimum-risk portfolio in Python in Excel.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</si>
</sst>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yyyy"/>
    <numFmt numFmtId="165" formatCode="0.000"/>
  </numFmts>
  <fonts count="4">
    <font>
      <sz val="11"/>
      <name val="Carlito"/>
    </font>
    <font>
      <b/>
      <sz val="11"/>
      <color rgb="FFFFFFFF"/>
      <name val="Carlito"/>
    </font>
    <font>
      <b/>
      <sz val="16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0" fontId="0" fillId="0" borderId="0" xfId="0" applyNumberFormat="1"/>
    <xf numFmtId="0" fontId="2" fillId="3" borderId="0" xfId="0" applyFont="1" applyFill="1"/>
    <xf numFmtId="0" fontId="3" fillId="4" borderId="0" xfId="0" applyFont="1" applyFill="1"/>
    <xf numFmtId="0" fontId="1" fillId="2" borderId="0" xfId="0" applyFont="1" applyFill="1" applyAlignment="1">
      <alignment horizont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10">
    <dxf>
      <numFmt numFmtId="14" formatCode="0.00%"/>
      <alignment vertical="bottom" textRotation="0" wrapText="1" indent="0" justifyLastLine="0" shrinkToFit="0" readingOrder="0"/>
    </dxf>
    <dxf>
      <numFmt numFmtId="14" formatCode="0.00%"/>
      <alignment vertical="bottom" textRotation="0" wrapText="1" indent="0" justifyLastLine="0" shrinkToFit="0" readingOrder="0"/>
    </dxf>
    <dxf>
      <numFmt numFmtId="14" formatCode="0.00%"/>
      <alignment vertical="bottom" textRotation="0" wrapText="1" indent="0" justifyLastLine="0" shrinkToFit="0" readingOrder="0"/>
    </dxf>
    <dxf>
      <numFmt numFmtId="14" formatCode="0.00%"/>
      <alignment vertical="bottom" textRotation="0" wrapText="1" indent="0" justifyLastLine="0" shrinkToFit="0" readingOrder="0"/>
    </dxf>
    <dxf>
      <numFmt numFmtId="14" formatCode="0.00%"/>
      <alignment vertical="bottom" textRotation="0" wrapText="1" indent="0" justifyLastLine="0" shrinkToFit="0" readingOrder="0"/>
    </dxf>
    <dxf>
      <numFmt numFmtId="14" formatCode="0.00%"/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ichStyles" Target="richData/richStyl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49</xdr:row>
      <xdr:rowOff>0</xdr:rowOff>
    </xdr:from>
    <xdr:to>
      <xdr:col>12</xdr:col>
      <xdr:colOff>938965</xdr:colOff>
      <xdr:row>73</xdr:row>
      <xdr:rowOff>132089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13447ECC-BDCC-F6E3-0D50-32D977B171A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onthly_Returns!I50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31467" y="8678333"/>
          <a:ext cx="5760731" cy="4297689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9">
  <rv s="0">
    <fb>43831</fb>
    <v>0</v>
  </rv>
  <rv s="0">
    <fb>43862</fb>
    <v>0</v>
  </rv>
  <rv s="0">
    <fb>43891</fb>
    <v>0</v>
  </rv>
  <rv s="0">
    <fb>43922</fb>
    <v>0</v>
  </rv>
  <rv s="0">
    <fb>43952</fb>
    <v>0</v>
  </rv>
  <rv s="0">
    <fb>0</fb>
    <v>1</v>
  </rv>
  <rv s="1">
    <fb>0</fb>
    <v>&lt;class 'NoneType'&gt;</v>
    <v>NoneType</v>
    <v>None</v>
    <v>5</v>
    <v>2</v>
  </rv>
  <rv s="2">
    <fb t="b">1</fb>
    <v>&lt;class 'numpy.bool_'&gt;</v>
    <v>bool_</v>
    <v>True</v>
    <v>1</v>
    <v>2</v>
  </rv>
  <rv s="3">
    <v>0</v>
    <v>9</v>
    <v>Image generated by Python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basicValue" t="b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3">
    <spb s="0">
      <v>1</v>
    </spb>
    <spb s="0">
      <v>2</v>
    </spb>
    <spb s="1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yy"/>
    </x:dxf>
    <x:dxf>
      <x:numFmt numFmtId="0" formatCode="General"/>
    </x:dxf>
  </dxfs>
  <richProperties>
    <rPr n="NumberFormat" t="s"/>
  </richProperties>
  <richStyles>
    <rSty dxfid="0"/>
    <rSty dxfid="1">
      <rpv i="0">0;-0;"None"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nthlyReturns" displayName="MonthlyReturns" ref="A1:G73" headerRowDxfId="9" dataDxfId="8" totalsRowDxfId="7">
  <tableColumns count="7">
    <tableColumn id="1" xr3:uid="{00000000-0010-0000-0000-000001000000}" name="Date" dataDxfId="6"/>
    <tableColumn id="2" xr3:uid="{00000000-0010-0000-0000-000002000000}" name="Broad Market ETF" dataDxfId="5"/>
    <tableColumn id="3" xr3:uid="{00000000-0010-0000-0000-000003000000}" name="Growth ETF" dataDxfId="4"/>
    <tableColumn id="4" xr3:uid="{00000000-0010-0000-0000-000004000000}" name="Value ETF" dataDxfId="3"/>
    <tableColumn id="5" xr3:uid="{00000000-0010-0000-0000-000005000000}" name="Bond ETF" dataDxfId="2"/>
    <tableColumn id="6" xr3:uid="{00000000-0010-0000-0000-000006000000}" name="Real Estate ETF" dataDxfId="1"/>
    <tableColumn id="7" xr3:uid="{00000000-0010-0000-0000-000007000000}" name="Commodity ETF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3"/>
  <sheetViews>
    <sheetView tabSelected="1" topLeftCell="H40" workbookViewId="0">
      <selection activeCell="J44" sqref="J44"/>
    </sheetView>
  </sheetViews>
  <sheetFormatPr defaultRowHeight="13.7"/>
  <cols>
    <col min="1" max="1" width="8.5" style="6" bestFit="1" customWidth="1"/>
    <col min="2" max="2" width="14.5546875" style="6" customWidth="1"/>
    <col min="3" max="3" width="9.44140625" style="6" customWidth="1"/>
    <col min="4" max="4" width="7.83203125" style="6" customWidth="1"/>
    <col min="5" max="5" width="7.5546875" style="6" customWidth="1"/>
    <col min="6" max="6" width="12.21875" style="6" customWidth="1"/>
    <col min="7" max="7" width="12.77734375" style="6" customWidth="1"/>
    <col min="9" max="9" width="23.21875" customWidth="1"/>
    <col min="10" max="10" width="15.38671875" bestFit="1" customWidth="1"/>
    <col min="11" max="13" width="12.33203125" bestFit="1" customWidth="1"/>
    <col min="14" max="14" width="13.94140625" bestFit="1" customWidth="1"/>
    <col min="15" max="15" width="13.71875" bestFit="1" customWidth="1"/>
  </cols>
  <sheetData>
    <row r="1" spans="1:15" ht="27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I1" t="str" cm="1">
        <f t="array" ref="I1:O7">_xlfn._xlws.PY(0,0,MonthlyReturns[#All])</f>
        <v/>
      </c>
      <c r="J1" t="str">
        <v>Broad Market ETF</v>
      </c>
      <c r="K1" t="str">
        <v>Growth ETF</v>
      </c>
      <c r="L1" t="str">
        <v>Value ETF</v>
      </c>
      <c r="M1" t="str">
        <v>Bond ETF</v>
      </c>
      <c r="N1" t="str">
        <v>Real Estate ETF</v>
      </c>
      <c r="O1" t="str">
        <v>Commodity ETF</v>
      </c>
    </row>
    <row r="2" spans="1:15">
      <c r="A2" s="5">
        <v>43831</v>
      </c>
      <c r="B2" s="1">
        <v>9.0283004794234067E-3</v>
      </c>
      <c r="C2" s="1">
        <v>-3.0251375707132482E-2</v>
      </c>
      <c r="D2" s="1">
        <v>3.6727007535694592E-2</v>
      </c>
      <c r="E2" s="1">
        <v>3.1782878554182316E-3</v>
      </c>
      <c r="F2" s="1">
        <v>-4.241651381605073E-2</v>
      </c>
      <c r="G2" s="1">
        <v>1.2526050360841801E-2</v>
      </c>
      <c r="I2" t="str">
        <v>Date</v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</row>
    <row r="3" spans="1:15">
      <c r="A3" s="5">
        <v>43862</v>
      </c>
      <c r="B3" s="1">
        <v>-4.3933030359427944E-2</v>
      </c>
      <c r="C3" s="1">
        <v>-0.12088491862314756</v>
      </c>
      <c r="D3" s="1">
        <v>-7.0715863676535217E-3</v>
      </c>
      <c r="E3" s="1">
        <v>4.1249138307288607E-3</v>
      </c>
      <c r="F3" s="1">
        <v>-1.0423682595146672E-2</v>
      </c>
      <c r="G3" s="1">
        <v>7.5118492622364808E-2</v>
      </c>
      <c r="I3" vm="1">
        <v>43831</v>
      </c>
      <c r="J3" s="7">
        <v>9.0283004794234067E-3</v>
      </c>
      <c r="K3" s="7">
        <v>-3.0251375707132482E-2</v>
      </c>
      <c r="L3" s="7">
        <v>3.6727007535694592E-2</v>
      </c>
      <c r="M3" s="7">
        <v>3.1782878554182316E-3</v>
      </c>
      <c r="N3" s="7">
        <v>-4.241651381605073E-2</v>
      </c>
      <c r="O3" s="7">
        <v>1.2526050360841801E-2</v>
      </c>
    </row>
    <row r="4" spans="1:15">
      <c r="A4" s="5">
        <v>43891</v>
      </c>
      <c r="B4" s="1">
        <v>-0.12547140066468998</v>
      </c>
      <c r="C4" s="1">
        <v>-0.16956443590088105</v>
      </c>
      <c r="D4" s="1">
        <v>-8.8592467997763144E-2</v>
      </c>
      <c r="E4" s="1">
        <v>2.4127936906253415E-2</v>
      </c>
      <c r="F4" s="1">
        <v>-0.1135995257562545</v>
      </c>
      <c r="G4" s="1">
        <v>-0.16270797546686527</v>
      </c>
      <c r="I4" vm="2">
        <v>43862</v>
      </c>
      <c r="J4" s="7">
        <v>-4.3933030359427944E-2</v>
      </c>
      <c r="K4" s="7">
        <v>-0.12088491862314756</v>
      </c>
      <c r="L4" s="7">
        <v>-7.0715863676535217E-3</v>
      </c>
      <c r="M4" s="7">
        <v>4.1249138307288607E-3</v>
      </c>
      <c r="N4" s="7">
        <v>-1.0423682595146672E-2</v>
      </c>
      <c r="O4" s="7">
        <v>7.5118492622364808E-2</v>
      </c>
    </row>
    <row r="5" spans="1:15">
      <c r="A5" s="5">
        <v>43922</v>
      </c>
      <c r="B5" s="1">
        <v>0.11978188039335548</v>
      </c>
      <c r="C5" s="1">
        <v>0.24069301040172053</v>
      </c>
      <c r="D5" s="1">
        <v>7.9697264314192939E-2</v>
      </c>
      <c r="E5" s="1">
        <v>-8.4645544032112639E-3</v>
      </c>
      <c r="F5" s="1">
        <v>1.9493637036092151E-2</v>
      </c>
      <c r="G5" s="1">
        <v>-9.8555194063416021E-2</v>
      </c>
      <c r="I5" vm="3">
        <v>43891</v>
      </c>
      <c r="J5" s="7">
        <v>-0.12547140066468998</v>
      </c>
      <c r="K5" s="7">
        <v>-0.16956443590088105</v>
      </c>
      <c r="L5" s="7">
        <v>-8.8592467997763144E-2</v>
      </c>
      <c r="M5" s="7">
        <v>2.4127936906253415E-2</v>
      </c>
      <c r="N5" s="7">
        <v>-0.1135995257562545</v>
      </c>
      <c r="O5" s="7">
        <v>-0.16270797546686527</v>
      </c>
    </row>
    <row r="6" spans="1:15">
      <c r="A6" s="5">
        <v>43952</v>
      </c>
      <c r="B6" s="1">
        <v>2.2439646456416308E-2</v>
      </c>
      <c r="C6" s="1">
        <v>3.4030429350572974E-2</v>
      </c>
      <c r="D6" s="1">
        <v>3.6176904776616045E-2</v>
      </c>
      <c r="E6" s="1">
        <v>3.9947575019489432E-4</v>
      </c>
      <c r="F6" s="1">
        <v>6.6667325414408202E-2</v>
      </c>
      <c r="G6" s="1">
        <v>-1.2397507533625424E-2</v>
      </c>
      <c r="I6" vm="4">
        <v>43922</v>
      </c>
      <c r="J6" s="7">
        <v>0.11978188039335548</v>
      </c>
      <c r="K6" s="7">
        <v>0.24069301040172053</v>
      </c>
      <c r="L6" s="7">
        <v>7.9697264314192939E-2</v>
      </c>
      <c r="M6" s="7">
        <v>-8.4645544032112639E-3</v>
      </c>
      <c r="N6" s="7">
        <v>1.9493637036092151E-2</v>
      </c>
      <c r="O6" s="7">
        <v>-9.8555194063416021E-2</v>
      </c>
    </row>
    <row r="7" spans="1:15">
      <c r="A7" s="5">
        <v>43983</v>
      </c>
      <c r="B7" s="1">
        <v>3.1357399317071294E-2</v>
      </c>
      <c r="C7" s="1">
        <v>6.9758351387331358E-2</v>
      </c>
      <c r="D7" s="1">
        <v>-3.7659990752574347E-3</v>
      </c>
      <c r="E7" s="1">
        <v>-9.0951889991867322E-3</v>
      </c>
      <c r="F7" s="1">
        <v>8.0894967873046314E-2</v>
      </c>
      <c r="G7" s="1">
        <v>0.11910597862946735</v>
      </c>
      <c r="I7" vm="5">
        <v>43952</v>
      </c>
      <c r="J7" s="7">
        <v>2.2439646456416308E-2</v>
      </c>
      <c r="K7" s="7">
        <v>3.4030429350572974E-2</v>
      </c>
      <c r="L7" s="7">
        <v>3.6176904776616045E-2</v>
      </c>
      <c r="M7" s="7">
        <v>3.9947575019489432E-4</v>
      </c>
      <c r="N7" s="7">
        <v>6.6667325414408202E-2</v>
      </c>
      <c r="O7" s="7">
        <v>-1.2397507533625424E-2</v>
      </c>
    </row>
    <row r="8" spans="1:15">
      <c r="A8" s="5">
        <v>44013</v>
      </c>
      <c r="B8" s="1">
        <v>6.2950958569142294E-3</v>
      </c>
      <c r="C8" s="1">
        <v>-2.9227615244526231E-2</v>
      </c>
      <c r="D8" s="1">
        <v>-6.2232096568131303E-3</v>
      </c>
      <c r="E8" s="1">
        <v>4.8613741577745199E-3</v>
      </c>
      <c r="F8" s="1">
        <v>-7.7756803828477805E-3</v>
      </c>
      <c r="G8" s="1">
        <v>-0.14042717980599873</v>
      </c>
    </row>
    <row r="9" spans="1:15">
      <c r="A9" s="5">
        <v>44044</v>
      </c>
      <c r="B9" s="1">
        <v>-7.2593588565818476E-3</v>
      </c>
      <c r="C9" s="1">
        <v>7.8521584316135033E-3</v>
      </c>
      <c r="D9" s="1">
        <v>-3.5578566329403961E-3</v>
      </c>
      <c r="E9" s="1">
        <v>1.3412215280695951E-2</v>
      </c>
      <c r="F9" s="1">
        <v>5.7838274309092434E-2</v>
      </c>
      <c r="G9" s="1">
        <v>-3.7453103817654015E-2</v>
      </c>
      <c r="I9" t="str" cm="1">
        <f t="array" ref="I9:J13">_xlfn._xlws.PY(1,0)</f>
        <v>Broad Market ETF</v>
      </c>
      <c r="J9" s="7">
        <v>-6.4264249187204734E-4</v>
      </c>
    </row>
    <row r="10" spans="1:15">
      <c r="A10" s="5">
        <v>44075</v>
      </c>
      <c r="B10" s="1">
        <v>-2.3728914379617314E-2</v>
      </c>
      <c r="C10" s="1">
        <v>-6.9243938121418304E-4</v>
      </c>
      <c r="D10" s="1">
        <v>-8.0953259487301071E-3</v>
      </c>
      <c r="E10" s="1">
        <v>8.4072723686415014E-3</v>
      </c>
      <c r="F10" s="1">
        <v>-6.014978062240612E-2</v>
      </c>
      <c r="G10" s="1">
        <v>-0.10282408999633433</v>
      </c>
      <c r="I10" t="str">
        <v>Growth ETF</v>
      </c>
      <c r="J10" s="7">
        <v>-1.037801303749E-3</v>
      </c>
    </row>
    <row r="11" spans="1:15">
      <c r="A11" s="5">
        <v>44105</v>
      </c>
      <c r="B11" s="1">
        <v>-2.550214580871403E-2</v>
      </c>
      <c r="C11" s="1">
        <v>-7.6888476581176729E-2</v>
      </c>
      <c r="D11" s="1">
        <v>-2.2666736096809637E-2</v>
      </c>
      <c r="E11" s="1">
        <v>1.6287242700624566E-2</v>
      </c>
      <c r="F11" s="1">
        <v>2.8017443511005422E-2</v>
      </c>
      <c r="G11" s="1">
        <v>7.2272791950981269E-2</v>
      </c>
      <c r="I11" t="str">
        <v>Value ETF</v>
      </c>
      <c r="J11" s="7">
        <v>5.0794172176916149E-3</v>
      </c>
    </row>
    <row r="12" spans="1:15">
      <c r="A12" s="5">
        <v>44136</v>
      </c>
      <c r="B12" s="1">
        <v>1.7519068162138201E-2</v>
      </c>
      <c r="C12" s="1">
        <v>4.4020351889133523E-2</v>
      </c>
      <c r="D12" s="1">
        <v>-1.8443793763220709E-2</v>
      </c>
      <c r="E12" s="1">
        <v>1.4846409161493409E-2</v>
      </c>
      <c r="F12" s="1">
        <v>6.0971518836129793E-2</v>
      </c>
      <c r="G12" s="1">
        <v>-3.012633857668846E-2</v>
      </c>
      <c r="I12" t="str">
        <v>Bond ETF</v>
      </c>
      <c r="J12" s="7">
        <v>6.7263284308553646E-3</v>
      </c>
    </row>
    <row r="13" spans="1:15">
      <c r="A13" s="5">
        <v>44166</v>
      </c>
      <c r="B13" s="1">
        <v>1.0181643365206151E-2</v>
      </c>
      <c r="C13" s="1">
        <v>3.2612696696591045E-2</v>
      </c>
      <c r="D13" s="1">
        <v>-4.8191702111177494E-3</v>
      </c>
      <c r="E13" s="1">
        <v>1.8227875797702266E-2</v>
      </c>
      <c r="F13" s="1">
        <v>2.6232682640268883E-2</v>
      </c>
      <c r="G13" s="1">
        <v>7.5761806872124499E-2</v>
      </c>
      <c r="I13" t="str">
        <v>Real Estate ETF</v>
      </c>
      <c r="J13" s="7">
        <v>-3.89766261108001E-3</v>
      </c>
    </row>
    <row r="14" spans="1:15">
      <c r="A14" s="5">
        <v>44197</v>
      </c>
      <c r="B14" s="1">
        <v>2.3300600332509393E-2</v>
      </c>
      <c r="C14" s="1">
        <v>-3.7065934053220943E-2</v>
      </c>
      <c r="D14" s="1">
        <v>3.3104618381006694E-2</v>
      </c>
      <c r="E14" s="1">
        <v>3.7519572157862649E-3</v>
      </c>
      <c r="F14" s="1">
        <v>0.13682291859994455</v>
      </c>
      <c r="G14" s="1">
        <v>7.2764598076311221E-2</v>
      </c>
    </row>
    <row r="15" spans="1:15">
      <c r="A15" s="5">
        <v>44228</v>
      </c>
      <c r="B15" s="1">
        <v>2.4320395181083573E-2</v>
      </c>
      <c r="C15" s="1">
        <v>-5.6959398642089567E-3</v>
      </c>
      <c r="D15" s="1">
        <v>-6.0839245488658461E-3</v>
      </c>
      <c r="E15" s="1">
        <v>-2.5948521311069208E-3</v>
      </c>
      <c r="F15" s="1">
        <v>-4.4550842759378713E-2</v>
      </c>
      <c r="G15" s="1">
        <v>-0.12867346620408682</v>
      </c>
    </row>
    <row r="16" spans="1:15">
      <c r="A16" s="5">
        <v>44256</v>
      </c>
      <c r="B16" s="1">
        <v>3.2698176858196967E-2</v>
      </c>
      <c r="C16" s="1">
        <v>8.9888640603277795E-2</v>
      </c>
      <c r="D16" s="1">
        <v>3.9327703060561728E-2</v>
      </c>
      <c r="E16" s="1">
        <v>5.9190117989052909E-3</v>
      </c>
      <c r="F16" s="1">
        <v>-1.2472014690468738E-2</v>
      </c>
      <c r="G16" s="1">
        <v>-2.9183834137412931E-2</v>
      </c>
      <c r="I16" s="8" cm="1">
        <f t="array" ref="I16:I21">_xlfn._xlws.PY(2,0)</f>
        <v>0.16666666666666666</v>
      </c>
    </row>
    <row r="17" spans="1:10">
      <c r="A17" s="5">
        <v>44287</v>
      </c>
      <c r="B17" s="1">
        <v>-3.4115619657911038E-3</v>
      </c>
      <c r="C17" s="1">
        <v>-8.2288686610163322E-4</v>
      </c>
      <c r="D17" s="1">
        <v>5.9675185479119682E-3</v>
      </c>
      <c r="E17" s="1">
        <v>-9.440094420931933E-3</v>
      </c>
      <c r="F17" s="1">
        <v>5.5930479328453631E-2</v>
      </c>
      <c r="G17" s="1">
        <v>6.1592245519824305E-2</v>
      </c>
      <c r="I17" s="8">
        <v>0.16666666666666666</v>
      </c>
    </row>
    <row r="18" spans="1:10">
      <c r="A18" s="5">
        <v>44317</v>
      </c>
      <c r="B18" s="1">
        <v>-2.4695325740373045E-2</v>
      </c>
      <c r="C18" s="1">
        <v>-2.0258809148567172E-3</v>
      </c>
      <c r="D18" s="1">
        <v>1.1197393261154726E-2</v>
      </c>
      <c r="E18" s="1">
        <v>3.0942146512121394E-4</v>
      </c>
      <c r="F18" s="1">
        <v>6.5216106336432713E-3</v>
      </c>
      <c r="G18" s="1">
        <v>2.6919357879505605E-2</v>
      </c>
      <c r="I18" s="8">
        <v>0.16666666666666666</v>
      </c>
    </row>
    <row r="19" spans="1:10">
      <c r="A19" s="5">
        <v>44348</v>
      </c>
      <c r="B19" s="1">
        <v>4.9459834826992802E-2</v>
      </c>
      <c r="C19" s="1">
        <v>2.7503873191686831E-2</v>
      </c>
      <c r="D19" s="1">
        <v>5.3906837645007581E-3</v>
      </c>
      <c r="E19" s="1">
        <v>3.9470424755331272E-3</v>
      </c>
      <c r="F19" s="1">
        <v>-1.2596349357447073E-3</v>
      </c>
      <c r="G19" s="1">
        <v>-5.5776355852202156E-2</v>
      </c>
      <c r="I19" s="8">
        <v>0.16666666666666666</v>
      </c>
    </row>
    <row r="20" spans="1:10">
      <c r="A20" s="5">
        <v>44378</v>
      </c>
      <c r="B20" s="1">
        <v>-3.0451404506139368E-3</v>
      </c>
      <c r="C20" s="1">
        <v>-3.7413785899882077E-2</v>
      </c>
      <c r="D20" s="1">
        <v>-1.3785465267743269E-5</v>
      </c>
      <c r="E20" s="1">
        <v>2.8741992317452673E-2</v>
      </c>
      <c r="F20" s="1">
        <v>6.3044914307156516E-2</v>
      </c>
      <c r="G20" s="1">
        <v>-2.2403220148965883E-2</v>
      </c>
      <c r="I20" s="8">
        <v>0.16666666666666666</v>
      </c>
    </row>
    <row r="21" spans="1:10">
      <c r="A21" s="5">
        <v>44409</v>
      </c>
      <c r="B21" s="1">
        <v>1.5469664761058297E-2</v>
      </c>
      <c r="C21" s="1">
        <v>3.8531605602499408E-2</v>
      </c>
      <c r="D21" s="1">
        <v>-2.5004904478894988E-2</v>
      </c>
      <c r="E21" s="1">
        <v>9.5477846624696678E-3</v>
      </c>
      <c r="F21" s="1">
        <v>2.6912643687835674E-2</v>
      </c>
      <c r="G21" s="1">
        <v>2.1892009091152381E-2</v>
      </c>
      <c r="I21" s="8">
        <v>0.16666666666666666</v>
      </c>
    </row>
    <row r="22" spans="1:10">
      <c r="A22" s="5">
        <v>44440</v>
      </c>
      <c r="B22" s="1">
        <v>-3.1478447951399119E-2</v>
      </c>
      <c r="C22" s="1">
        <v>-8.5453426686421027E-3</v>
      </c>
      <c r="D22" s="1">
        <v>-5.1705745587956757E-2</v>
      </c>
      <c r="E22" s="1">
        <v>2.3929258085771465E-2</v>
      </c>
      <c r="F22" s="1">
        <v>-8.6067775351500661E-2</v>
      </c>
      <c r="G22" s="1">
        <v>-2.3519564472677074E-2</v>
      </c>
      <c r="I22" s="8"/>
    </row>
    <row r="23" spans="1:10">
      <c r="A23" s="5">
        <v>44470</v>
      </c>
      <c r="B23" s="1">
        <v>1.1798846729523407E-2</v>
      </c>
      <c r="C23" s="1">
        <v>0.10255774311225706</v>
      </c>
      <c r="D23" s="1">
        <v>3.2505813586854553E-2</v>
      </c>
      <c r="E23" s="1">
        <v>1.0196985954061249E-3</v>
      </c>
      <c r="F23" s="1">
        <v>2.500417241464626E-2</v>
      </c>
      <c r="G23" s="1">
        <v>-4.7823940789036762E-2</v>
      </c>
    </row>
    <row r="24" spans="1:10">
      <c r="A24" s="5">
        <v>44501</v>
      </c>
      <c r="B24" s="1">
        <v>5.5465195623618277E-2</v>
      </c>
      <c r="C24" s="1">
        <v>6.5136407895608303E-2</v>
      </c>
      <c r="D24" s="1">
        <v>7.9829532056064648E-2</v>
      </c>
      <c r="E24" s="1">
        <v>-5.9336231617160892E-5</v>
      </c>
      <c r="F24" s="1">
        <v>8.0092265829173559E-2</v>
      </c>
      <c r="G24" s="1">
        <v>6.4566905565610847E-3</v>
      </c>
      <c r="I24" cm="1" vm="6">
        <f t="array" ref="I24">_xlfn._xlws.PY(3,1)</f>
        <v>0</v>
      </c>
    </row>
    <row r="25" spans="1:10">
      <c r="A25" s="5">
        <v>44531</v>
      </c>
      <c r="B25" s="1">
        <v>-2.8169059621236836E-2</v>
      </c>
      <c r="C25" s="1">
        <v>-5.5297841290816357E-2</v>
      </c>
      <c r="D25" s="1">
        <v>3.3114914246686222E-2</v>
      </c>
      <c r="E25" s="1">
        <v>7.2699344603896002E-3</v>
      </c>
      <c r="F25" s="1">
        <v>-6.5090712476096296E-2</v>
      </c>
      <c r="G25" s="1">
        <v>-6.1438132911298481E-2</v>
      </c>
    </row>
    <row r="26" spans="1:10">
      <c r="A26" s="5">
        <v>44562</v>
      </c>
      <c r="B26" s="1">
        <v>-1.1123759003823949E-2</v>
      </c>
      <c r="C26" s="1">
        <v>-1.3258872414110954E-2</v>
      </c>
      <c r="D26" s="1">
        <v>-3.1999789425897894E-2</v>
      </c>
      <c r="E26" s="1">
        <v>7.19561730439351E-3</v>
      </c>
      <c r="F26" s="1">
        <v>6.7817628843187053E-2</v>
      </c>
      <c r="G26" s="1">
        <v>4.4587885253128026E-2</v>
      </c>
    </row>
    <row r="27" spans="1:10">
      <c r="A27" s="5">
        <v>44593</v>
      </c>
      <c r="B27" s="1">
        <v>6.871927141669695E-3</v>
      </c>
      <c r="C27" s="1">
        <v>-2.0573160503930883E-2</v>
      </c>
      <c r="D27" s="1">
        <v>7.0120818276169193E-3</v>
      </c>
      <c r="E27" s="1">
        <v>-1.9961901256646554E-3</v>
      </c>
      <c r="F27" s="1">
        <v>3.0194348807648725E-2</v>
      </c>
      <c r="G27" s="1">
        <v>2.2944931815745976E-2</v>
      </c>
      <c r="I27" cm="1">
        <f t="array" ref="I27:J32">_xlfn._xlws.PY(4,0)</f>
        <v>0</v>
      </c>
      <c r="J27">
        <v>1</v>
      </c>
    </row>
    <row r="28" spans="1:10">
      <c r="A28" s="5">
        <v>44621</v>
      </c>
      <c r="B28" s="1">
        <v>-6.1273521497907012E-2</v>
      </c>
      <c r="C28" s="1">
        <v>-0.15464509909809082</v>
      </c>
      <c r="D28" s="1">
        <v>-7.690510630746451E-3</v>
      </c>
      <c r="E28" s="1">
        <v>1.7145806933281375E-2</v>
      </c>
      <c r="F28" s="1">
        <v>-2.7430787979971305E-3</v>
      </c>
      <c r="G28" s="1">
        <v>4.9958621425424246E-2</v>
      </c>
      <c r="I28">
        <v>0</v>
      </c>
      <c r="J28">
        <v>1</v>
      </c>
    </row>
    <row r="29" spans="1:10">
      <c r="A29" s="5">
        <v>44652</v>
      </c>
      <c r="B29" s="1">
        <v>-1.5996934195369138E-2</v>
      </c>
      <c r="C29" s="1">
        <v>-6.590642648442023E-2</v>
      </c>
      <c r="D29" s="1">
        <v>-1.829623261257473E-2</v>
      </c>
      <c r="E29" s="1">
        <v>2.3647169168092869E-2</v>
      </c>
      <c r="F29" s="1">
        <v>-8.9305316643544241E-2</v>
      </c>
      <c r="G29" s="1">
        <v>-1.7766829386284589E-2</v>
      </c>
      <c r="I29">
        <v>0</v>
      </c>
      <c r="J29">
        <v>1</v>
      </c>
    </row>
    <row r="30" spans="1:10">
      <c r="A30" s="5">
        <v>44682</v>
      </c>
      <c r="B30" s="1">
        <v>6.7351540754791248E-4</v>
      </c>
      <c r="C30" s="1">
        <v>2.7501652214897185E-2</v>
      </c>
      <c r="D30" s="1">
        <v>-7.7902099172785285E-3</v>
      </c>
      <c r="E30" s="1">
        <v>5.4356919330487627E-3</v>
      </c>
      <c r="F30" s="1">
        <v>2.971061380444846E-2</v>
      </c>
      <c r="G30" s="1">
        <v>-6.1456151332704524E-2</v>
      </c>
      <c r="I30">
        <v>0</v>
      </c>
      <c r="J30">
        <v>1</v>
      </c>
    </row>
    <row r="31" spans="1:10">
      <c r="A31" s="5">
        <v>44713</v>
      </c>
      <c r="B31" s="1">
        <v>-4.2572707244302538E-2</v>
      </c>
      <c r="C31" s="1">
        <v>-0.1269914966283488</v>
      </c>
      <c r="D31" s="1">
        <v>-1.9240123597839276E-3</v>
      </c>
      <c r="E31" s="1">
        <v>3.6141661555033039E-2</v>
      </c>
      <c r="F31" s="1">
        <v>-6.7112656083715083E-2</v>
      </c>
      <c r="G31" s="1">
        <v>0.14435601632981801</v>
      </c>
      <c r="I31">
        <v>0</v>
      </c>
      <c r="J31">
        <v>1</v>
      </c>
    </row>
    <row r="32" spans="1:10">
      <c r="A32" s="5">
        <v>44743</v>
      </c>
      <c r="B32" s="1">
        <v>-1.4063361060205774E-2</v>
      </c>
      <c r="C32" s="1">
        <v>-5.7186415815783487E-2</v>
      </c>
      <c r="D32" s="1">
        <v>4.5403732711657239E-3</v>
      </c>
      <c r="E32" s="1">
        <v>1.2136016919897465E-2</v>
      </c>
      <c r="F32" s="1">
        <v>-1.4344894661448499E-3</v>
      </c>
      <c r="G32" s="1">
        <v>-5.6968531424758766E-2</v>
      </c>
      <c r="I32">
        <v>0</v>
      </c>
      <c r="J32">
        <v>1</v>
      </c>
    </row>
    <row r="33" spans="1:10">
      <c r="A33" s="5">
        <v>44774</v>
      </c>
      <c r="B33" s="1">
        <v>-3.6973163921420464E-2</v>
      </c>
      <c r="C33" s="1">
        <v>-1.7982141544823547E-2</v>
      </c>
      <c r="D33" s="1">
        <v>-3.5264136682181868E-2</v>
      </c>
      <c r="E33" s="1">
        <v>1.214676601929114E-2</v>
      </c>
      <c r="F33" s="1">
        <v>2.6305246482269992E-2</v>
      </c>
      <c r="G33" s="1">
        <v>-3.932834759950374E-3</v>
      </c>
    </row>
    <row r="34" spans="1:10">
      <c r="A34" s="5">
        <v>44805</v>
      </c>
      <c r="B34" s="1">
        <v>-1.0109761861531327E-2</v>
      </c>
      <c r="C34" s="1">
        <v>-1.507367024176573E-3</v>
      </c>
      <c r="D34" s="1">
        <v>1.7460325368144354E-2</v>
      </c>
      <c r="E34" s="1">
        <v>4.7811775837413332E-3</v>
      </c>
      <c r="F34" s="1">
        <v>-4.0232086436762744E-2</v>
      </c>
      <c r="G34" s="1">
        <v>-7.2566534946278599E-2</v>
      </c>
      <c r="I34" t="b" cm="1" vm="7">
        <f t="array" ref="I34">_xlfn._xlws.PY(5,1)</f>
        <v>1</v>
      </c>
    </row>
    <row r="35" spans="1:10">
      <c r="A35" s="5">
        <v>44835</v>
      </c>
      <c r="B35" s="1">
        <v>2.6056290582530835E-2</v>
      </c>
      <c r="C35" s="1">
        <v>6.1281134802789808E-3</v>
      </c>
      <c r="D35" s="1">
        <v>6.6561151884295608E-3</v>
      </c>
      <c r="E35" s="1">
        <v>1.302643328120066E-2</v>
      </c>
      <c r="F35" s="1">
        <v>-4.1532008745939014E-2</v>
      </c>
      <c r="G35" s="1">
        <v>-6.5223828522104343E-2</v>
      </c>
    </row>
    <row r="36" spans="1:10">
      <c r="A36" s="5">
        <v>44866</v>
      </c>
      <c r="B36" s="1">
        <v>6.7938061675392403E-2</v>
      </c>
      <c r="C36" s="1">
        <v>0.12294692479018962</v>
      </c>
      <c r="D36" s="1">
        <v>4.4424721202415085E-2</v>
      </c>
      <c r="E36" s="1">
        <v>3.6614360916692651E-2</v>
      </c>
      <c r="F36" s="1">
        <v>6.578974566282007E-3</v>
      </c>
      <c r="G36" s="1">
        <v>-7.3013110776495665E-2</v>
      </c>
      <c r="I36" t="str" cm="1">
        <f t="array" ref="I36:J42">_xlfn._xlws.PY(6,0)</f>
        <v>Asset</v>
      </c>
      <c r="J36" t="str">
        <v>Weight</v>
      </c>
    </row>
    <row r="37" spans="1:10">
      <c r="A37" s="5">
        <v>44896</v>
      </c>
      <c r="B37" s="1">
        <v>-2.4973436845678355E-3</v>
      </c>
      <c r="C37" s="1">
        <v>-2.0116858454486491E-2</v>
      </c>
      <c r="D37" s="1">
        <v>1.9370789198486785E-2</v>
      </c>
      <c r="E37" s="1">
        <v>1.3120114734625831E-2</v>
      </c>
      <c r="F37" s="1">
        <v>-1.7369353986297329E-2</v>
      </c>
      <c r="G37" s="1">
        <v>0.10286493764754669</v>
      </c>
      <c r="I37" t="str">
        <v>Broad Market ETF</v>
      </c>
      <c r="J37" s="7">
        <v>2.8882970087117231E-2</v>
      </c>
    </row>
    <row r="38" spans="1:10">
      <c r="A38" s="5">
        <v>44927</v>
      </c>
      <c r="B38" s="1">
        <v>0.11719812886088767</v>
      </c>
      <c r="C38" s="1">
        <v>0.20207949002780348</v>
      </c>
      <c r="D38" s="1">
        <v>4.0536403159391485E-2</v>
      </c>
      <c r="E38" s="1">
        <v>-1.4412705347002295E-2</v>
      </c>
      <c r="F38" s="1">
        <v>8.0382452415535238E-2</v>
      </c>
      <c r="G38" s="1">
        <v>-1.4106601968030767E-2</v>
      </c>
      <c r="I38" t="str">
        <v>Growth ETF</v>
      </c>
      <c r="J38" s="7">
        <v>0</v>
      </c>
    </row>
    <row r="39" spans="1:10">
      <c r="A39" s="5">
        <v>44958</v>
      </c>
      <c r="B39" s="1">
        <v>-5.2520627602000609E-3</v>
      </c>
      <c r="C39" s="1">
        <v>-6.0217204423106671E-2</v>
      </c>
      <c r="D39" s="1">
        <v>1.2966528968258589E-2</v>
      </c>
      <c r="E39" s="1">
        <v>-5.4438237325717519E-3</v>
      </c>
      <c r="F39" s="1">
        <v>-4.7432801855847612E-2</v>
      </c>
      <c r="G39" s="1">
        <v>-9.7951125908509337E-2</v>
      </c>
      <c r="I39" t="str">
        <v>Value ETF</v>
      </c>
      <c r="J39" s="7">
        <v>0.19545778399039818</v>
      </c>
    </row>
    <row r="40" spans="1:10">
      <c r="A40" s="5">
        <v>44986</v>
      </c>
      <c r="B40" s="1">
        <v>3.7526375072718637E-2</v>
      </c>
      <c r="C40" s="1">
        <v>5.4206434351739399E-2</v>
      </c>
      <c r="D40" s="1">
        <v>3.2415688230966952E-2</v>
      </c>
      <c r="E40" s="1">
        <v>-3.4166809318972795E-3</v>
      </c>
      <c r="F40" s="1">
        <v>7.300898983740943E-2</v>
      </c>
      <c r="G40" s="1">
        <v>2.8795290092432532E-2</v>
      </c>
      <c r="I40" t="str">
        <v>Bond ETF</v>
      </c>
      <c r="J40" s="7">
        <v>0.7756592459224847</v>
      </c>
    </row>
    <row r="41" spans="1:10">
      <c r="A41" s="5">
        <v>45017</v>
      </c>
      <c r="B41" s="1">
        <v>-7.3569850127202963E-2</v>
      </c>
      <c r="C41" s="1">
        <v>-0.18575592372817123</v>
      </c>
      <c r="D41" s="1">
        <v>-2.8457171104446309E-2</v>
      </c>
      <c r="E41" s="1">
        <v>1.8617287102702103E-2</v>
      </c>
      <c r="F41" s="1">
        <v>2.3145550931949484E-2</v>
      </c>
      <c r="G41" s="1">
        <v>5.3795736271056091E-2</v>
      </c>
      <c r="I41" t="str">
        <v>Real Estate ETF</v>
      </c>
      <c r="J41" s="7">
        <v>1.0381235801548705E-17</v>
      </c>
    </row>
    <row r="42" spans="1:10">
      <c r="A42" s="5">
        <v>45047</v>
      </c>
      <c r="B42" s="1">
        <v>3.0766923436438328E-2</v>
      </c>
      <c r="C42" s="1">
        <v>7.7339205418190962E-2</v>
      </c>
      <c r="D42" s="1">
        <v>5.9772788356578427E-2</v>
      </c>
      <c r="E42" s="1">
        <v>-1.2190753267756296E-3</v>
      </c>
      <c r="F42" s="1">
        <v>9.7252096486912624E-3</v>
      </c>
      <c r="G42" s="1">
        <v>-8.9094917188279402E-3</v>
      </c>
      <c r="I42" t="str">
        <v>Commodity ETF</v>
      </c>
      <c r="J42" s="7">
        <v>1.3877787807814457E-17</v>
      </c>
    </row>
    <row r="43" spans="1:10">
      <c r="A43" s="5">
        <v>45078</v>
      </c>
      <c r="B43" s="1">
        <v>1.2512490795539399E-2</v>
      </c>
      <c r="C43" s="1">
        <v>7.9888851544544739E-2</v>
      </c>
      <c r="D43" s="1">
        <v>4.0472284007782584E-2</v>
      </c>
      <c r="E43" s="1">
        <v>1.017896846838301E-2</v>
      </c>
      <c r="F43" s="1">
        <v>-5.6634588254277883E-2</v>
      </c>
      <c r="G43" s="1">
        <v>-2.2479658556640549E-2</v>
      </c>
      <c r="J43" s="7"/>
    </row>
    <row r="44" spans="1:10">
      <c r="A44" s="5">
        <v>45108</v>
      </c>
      <c r="B44" s="1">
        <v>-5.3056138308828577E-2</v>
      </c>
      <c r="C44" s="1">
        <v>-0.17404772981370925</v>
      </c>
      <c r="D44" s="1">
        <v>-6.082334253569948E-2</v>
      </c>
      <c r="E44" s="1">
        <v>2.9256865954460816E-3</v>
      </c>
      <c r="F44" s="1">
        <v>1.8229305247078741E-2</v>
      </c>
      <c r="G44" s="1">
        <v>8.7755777822764502E-2</v>
      </c>
      <c r="J44" s="7"/>
    </row>
    <row r="45" spans="1:10">
      <c r="A45" s="5">
        <v>45139</v>
      </c>
      <c r="B45" s="1">
        <v>-5.2793253771314906E-2</v>
      </c>
      <c r="C45" s="1">
        <v>-2.5911893798143439E-2</v>
      </c>
      <c r="D45" s="1">
        <v>3.1089433285544477E-2</v>
      </c>
      <c r="E45" s="1">
        <v>-3.9701086583928021E-3</v>
      </c>
      <c r="F45" s="1">
        <v>4.8661168619694342E-2</v>
      </c>
      <c r="G45" s="1">
        <v>5.0265729783111342E-2</v>
      </c>
      <c r="I45" t="str" cm="1">
        <f t="array" ref="I45:J47">_xlfn._xlws.PY(7,0)</f>
        <v>Metric</v>
      </c>
      <c r="J45" s="7" t="str">
        <v>Value</v>
      </c>
    </row>
    <row r="46" spans="1:10">
      <c r="A46" s="5">
        <v>45170</v>
      </c>
      <c r="B46" s="1">
        <v>-1.1034276789208253E-2</v>
      </c>
      <c r="C46" s="1">
        <v>7.8652036174875692E-2</v>
      </c>
      <c r="D46" s="1">
        <v>-1.9243187020592217E-2</v>
      </c>
      <c r="E46" s="1">
        <v>1.2612588422399149E-3</v>
      </c>
      <c r="F46" s="1">
        <v>-6.742835707215504E-2</v>
      </c>
      <c r="G46" s="1">
        <v>-5.9892019297162764E-2</v>
      </c>
      <c r="I46" t="str">
        <v>Expected Monthly Return</v>
      </c>
      <c r="J46" s="7">
        <v>6.1915890479674685E-3</v>
      </c>
    </row>
    <row r="47" spans="1:10">
      <c r="A47" s="5">
        <v>45200</v>
      </c>
      <c r="B47" s="1">
        <v>-5.8472965270986686E-2</v>
      </c>
      <c r="C47" s="1">
        <v>-7.4975705218772434E-2</v>
      </c>
      <c r="D47" s="1">
        <v>-1.9056019020056256E-2</v>
      </c>
      <c r="E47" s="1">
        <v>9.7657409171074561E-3</v>
      </c>
      <c r="F47" s="1">
        <v>-0.11827161641673012</v>
      </c>
      <c r="G47" s="1">
        <v>-5.1838478263010739E-2</v>
      </c>
      <c r="I47" t="str">
        <v>Monthly Risk</v>
      </c>
      <c r="J47" s="7">
        <v>9.2664601849919061E-3</v>
      </c>
    </row>
    <row r="48" spans="1:10">
      <c r="A48" s="5">
        <v>45231</v>
      </c>
      <c r="B48" s="1">
        <v>-4.3543009294265897E-3</v>
      </c>
      <c r="C48" s="1">
        <v>4.0025840713614116E-3</v>
      </c>
      <c r="D48" s="1">
        <v>-8.2968084648931111E-3</v>
      </c>
      <c r="E48" s="1">
        <v>9.5366059816476556E-3</v>
      </c>
      <c r="F48" s="1">
        <v>-1.6325335146877659E-2</v>
      </c>
      <c r="G48" s="1">
        <v>-3.0861220435933121E-2</v>
      </c>
    </row>
    <row r="49" spans="1:9">
      <c r="A49" s="5">
        <v>45261</v>
      </c>
      <c r="B49" s="1">
        <v>-7.7150239913124058E-2</v>
      </c>
      <c r="C49" s="1">
        <v>-4.9740339382990981E-2</v>
      </c>
      <c r="D49" s="1">
        <v>-7.6703815476053816E-2</v>
      </c>
      <c r="E49" s="1">
        <v>9.4216365945068315E-3</v>
      </c>
      <c r="F49" s="1">
        <v>-0.14303501011209674</v>
      </c>
      <c r="G49" s="1">
        <v>-2.2554295618637518E-2</v>
      </c>
    </row>
    <row r="50" spans="1:9">
      <c r="A50" s="5">
        <v>45292</v>
      </c>
      <c r="B50" s="1">
        <v>-1.9026499914128504E-2</v>
      </c>
      <c r="C50" s="1">
        <v>-3.6520458096962281E-3</v>
      </c>
      <c r="D50" s="1">
        <v>-6.2923244955034787E-3</v>
      </c>
      <c r="E50" s="1">
        <v>1.1641721027098347E-2</v>
      </c>
      <c r="F50" s="1">
        <v>-8.7995379242200231E-3</v>
      </c>
      <c r="G50" s="1">
        <v>-3.507104119853071E-2</v>
      </c>
      <c r="I50" t="e" cm="1" vm="8">
        <f t="array" ref="I50">_xlfn._xlws.PY(8,0)</f>
        <v>#VALUE!</v>
      </c>
    </row>
    <row r="51" spans="1:9">
      <c r="A51" s="5">
        <v>45323</v>
      </c>
      <c r="B51" s="1">
        <v>1.0432655532867798E-2</v>
      </c>
      <c r="C51" s="1">
        <v>-4.1943808674032527E-3</v>
      </c>
      <c r="D51" s="1">
        <v>-1.6961954893130703E-3</v>
      </c>
      <c r="E51" s="1">
        <v>9.5711686184703423E-3</v>
      </c>
      <c r="F51" s="1">
        <v>-5.6706566929713535E-2</v>
      </c>
      <c r="G51" s="1">
        <v>-2.2940165375085836E-2</v>
      </c>
    </row>
    <row r="52" spans="1:9">
      <c r="A52" s="5">
        <v>45352</v>
      </c>
      <c r="B52" s="1">
        <v>4.4102647290181998E-2</v>
      </c>
      <c r="C52" s="1">
        <v>8.3764714013880165E-2</v>
      </c>
      <c r="D52" s="1">
        <v>4.1463320220033344E-2</v>
      </c>
      <c r="E52" s="1">
        <v>2.2688147944219242E-3</v>
      </c>
      <c r="F52" s="1">
        <v>-9.3362297544186436E-3</v>
      </c>
      <c r="G52" s="1">
        <v>-3.5561212878766298E-2</v>
      </c>
    </row>
    <row r="53" spans="1:9">
      <c r="A53" s="5">
        <v>45383</v>
      </c>
      <c r="B53" s="1">
        <v>-4.3175109168915704E-2</v>
      </c>
      <c r="C53" s="1">
        <v>-7.2266272138703194E-2</v>
      </c>
      <c r="D53" s="1">
        <v>-2.5203417649421585E-2</v>
      </c>
      <c r="E53" s="1">
        <v>1.6266549069915939E-2</v>
      </c>
      <c r="F53" s="1">
        <v>-6.8768562121480373E-2</v>
      </c>
      <c r="G53" s="1">
        <v>-6.4517386305419705E-3</v>
      </c>
    </row>
    <row r="54" spans="1:9">
      <c r="A54" s="5">
        <v>45413</v>
      </c>
      <c r="B54" s="1">
        <v>-6.5175635611097356E-3</v>
      </c>
      <c r="C54" s="1">
        <v>-2.9999110383223268E-2</v>
      </c>
      <c r="D54" s="1">
        <v>-1.2204022652783969E-2</v>
      </c>
      <c r="E54" s="1">
        <v>2.4344751167179306E-3</v>
      </c>
      <c r="F54" s="1">
        <v>-4.4556005367633288E-2</v>
      </c>
      <c r="G54" s="1">
        <v>9.0776098954498535E-2</v>
      </c>
    </row>
    <row r="55" spans="1:9">
      <c r="A55" s="5">
        <v>45444</v>
      </c>
      <c r="B55" s="1">
        <v>-6.7535658552258966E-3</v>
      </c>
      <c r="C55" s="1">
        <v>-1.3116090062599525E-2</v>
      </c>
      <c r="D55" s="1">
        <v>2.3131420207798126E-2</v>
      </c>
      <c r="E55" s="1">
        <v>2.4796755931420653E-2</v>
      </c>
      <c r="F55" s="1">
        <v>-1.255384298652628E-2</v>
      </c>
      <c r="G55" s="1">
        <v>2.3933008284790433E-3</v>
      </c>
    </row>
    <row r="56" spans="1:9">
      <c r="A56" s="5">
        <v>45474</v>
      </c>
      <c r="B56" s="1">
        <v>6.03929997464022E-2</v>
      </c>
      <c r="C56" s="1">
        <v>0.10049156759494848</v>
      </c>
      <c r="D56" s="1">
        <v>4.1470942559722626E-2</v>
      </c>
      <c r="E56" s="1">
        <v>6.1131557116234332E-3</v>
      </c>
      <c r="F56" s="1">
        <v>-3.6681777990042352E-2</v>
      </c>
      <c r="G56" s="1">
        <v>-7.6279853894078736E-2</v>
      </c>
    </row>
    <row r="57" spans="1:9">
      <c r="A57" s="5">
        <v>45505</v>
      </c>
      <c r="B57" s="1">
        <v>1.0167669466869561E-2</v>
      </c>
      <c r="C57" s="1">
        <v>2.0910448835247088E-2</v>
      </c>
      <c r="D57" s="1">
        <v>-1.9798135824343727E-2</v>
      </c>
      <c r="E57" s="1">
        <v>7.0083423152321337E-4</v>
      </c>
      <c r="F57" s="1">
        <v>-1.6952990256587495E-2</v>
      </c>
      <c r="G57" s="1">
        <v>-5.3651521076381221E-2</v>
      </c>
    </row>
    <row r="58" spans="1:9">
      <c r="A58" s="5">
        <v>45536</v>
      </c>
      <c r="B58" s="1">
        <v>1.6683857468753074E-2</v>
      </c>
      <c r="C58" s="1">
        <v>9.3711023013507644E-2</v>
      </c>
      <c r="D58" s="1">
        <v>2.128118590390099E-2</v>
      </c>
      <c r="E58" s="1">
        <v>3.0296157344831308E-3</v>
      </c>
      <c r="F58" s="1">
        <v>1.4789304140819002E-2</v>
      </c>
      <c r="G58" s="1">
        <v>-2.4313459958404476E-2</v>
      </c>
    </row>
    <row r="59" spans="1:9">
      <c r="A59" s="5">
        <v>45566</v>
      </c>
      <c r="B59" s="1">
        <v>-1.9869144423302454E-2</v>
      </c>
      <c r="C59" s="1">
        <v>-1.1778567589642438E-2</v>
      </c>
      <c r="D59" s="1">
        <v>2.1050431855186656E-2</v>
      </c>
      <c r="E59" s="1">
        <v>-9.324448122815826E-3</v>
      </c>
      <c r="F59" s="1">
        <v>2.1029290572695241E-3</v>
      </c>
      <c r="G59" s="1">
        <v>-3.1637482157008796E-2</v>
      </c>
    </row>
    <row r="60" spans="1:9">
      <c r="A60" s="5">
        <v>45597</v>
      </c>
      <c r="B60" s="1">
        <v>6.5178786314007503E-2</v>
      </c>
      <c r="C60" s="1">
        <v>5.5301972527458519E-2</v>
      </c>
      <c r="D60" s="1">
        <v>5.2475513824798668E-2</v>
      </c>
      <c r="E60" s="1">
        <v>9.5167416390585374E-4</v>
      </c>
      <c r="F60" s="1">
        <v>6.4889424571859247E-3</v>
      </c>
      <c r="G60" s="1">
        <v>-1.643757931146789E-2</v>
      </c>
    </row>
    <row r="61" spans="1:9">
      <c r="A61" s="5">
        <v>45627</v>
      </c>
      <c r="B61" s="1">
        <v>6.1265974221404442E-3</v>
      </c>
      <c r="C61" s="1">
        <v>1.7098521397291504E-2</v>
      </c>
      <c r="D61" s="1">
        <v>-4.2508042079412063E-3</v>
      </c>
      <c r="E61" s="1">
        <v>-5.5486440457499613E-3</v>
      </c>
      <c r="F61" s="1">
        <v>-1.7424375473932122E-2</v>
      </c>
      <c r="G61" s="1">
        <v>-6.2237292281579183E-2</v>
      </c>
    </row>
    <row r="62" spans="1:9">
      <c r="A62" s="5">
        <v>45658</v>
      </c>
      <c r="B62" s="1">
        <v>9.8621150418426885E-3</v>
      </c>
      <c r="C62" s="1">
        <v>-3.456084536625726E-2</v>
      </c>
      <c r="D62" s="1">
        <v>5.7763467280496014E-3</v>
      </c>
      <c r="E62" s="1">
        <v>2.4137973238911865E-3</v>
      </c>
      <c r="F62" s="1">
        <v>3.197293451945038E-2</v>
      </c>
      <c r="G62" s="1">
        <v>0.11434586895684</v>
      </c>
    </row>
    <row r="63" spans="1:9">
      <c r="A63" s="5">
        <v>45689</v>
      </c>
      <c r="B63" s="1">
        <v>-9.9598985091764458E-3</v>
      </c>
      <c r="C63" s="1">
        <v>7.2568345899363717E-3</v>
      </c>
      <c r="D63" s="1">
        <v>-1.5121827863992609E-2</v>
      </c>
      <c r="E63" s="1">
        <v>8.2030337802238267E-3</v>
      </c>
      <c r="F63" s="1">
        <v>1.3469868608581657E-4</v>
      </c>
      <c r="G63" s="1">
        <v>1.0829795883367035E-2</v>
      </c>
    </row>
    <row r="64" spans="1:9">
      <c r="A64" s="5">
        <v>45717</v>
      </c>
      <c r="B64" s="1">
        <v>-3.4890342982004025E-2</v>
      </c>
      <c r="C64" s="1">
        <v>-5.5410950995520722E-2</v>
      </c>
      <c r="D64" s="1">
        <v>-4.6579806069596712E-2</v>
      </c>
      <c r="E64" s="1">
        <v>7.7562992284026227E-3</v>
      </c>
      <c r="F64" s="1">
        <v>-8.7214882926158491E-2</v>
      </c>
      <c r="G64" s="1">
        <v>0.12233869813280109</v>
      </c>
    </row>
    <row r="65" spans="1:7">
      <c r="A65" s="5">
        <v>45748</v>
      </c>
      <c r="B65" s="1">
        <v>-0.18460998262109063</v>
      </c>
      <c r="C65" s="1">
        <v>-0.25</v>
      </c>
      <c r="D65" s="1">
        <v>-9.3808706205242703E-2</v>
      </c>
      <c r="E65" s="1">
        <v>9.2209156982135942E-3</v>
      </c>
      <c r="F65" s="1">
        <v>-0.13278689446582059</v>
      </c>
      <c r="G65" s="1">
        <v>-8.0595236742294851E-2</v>
      </c>
    </row>
    <row r="66" spans="1:7">
      <c r="A66" s="5">
        <v>45778</v>
      </c>
      <c r="B66" s="1">
        <v>7.4594387290407932E-2</v>
      </c>
      <c r="C66" s="1">
        <v>5.4020761311340128E-2</v>
      </c>
      <c r="D66" s="1">
        <v>6.3667124466961378E-2</v>
      </c>
      <c r="E66" s="1">
        <v>-2.5890875911617124E-3</v>
      </c>
      <c r="F66" s="1">
        <v>1.4511874812798854E-2</v>
      </c>
      <c r="G66" s="1">
        <v>7.6325502429470584E-3</v>
      </c>
    </row>
    <row r="67" spans="1:7">
      <c r="A67" s="5">
        <v>45809</v>
      </c>
      <c r="B67" s="1">
        <v>8.0961620436693749E-2</v>
      </c>
      <c r="C67" s="1">
        <v>3.660336316773545E-2</v>
      </c>
      <c r="D67" s="1">
        <v>6.3779679163411429E-2</v>
      </c>
      <c r="E67" s="1">
        <v>-8.1181172869672054E-4</v>
      </c>
      <c r="F67" s="1">
        <v>8.5817756682332338E-2</v>
      </c>
      <c r="G67" s="1">
        <v>5.3780347847620152E-3</v>
      </c>
    </row>
    <row r="68" spans="1:7">
      <c r="A68" s="5">
        <v>45839</v>
      </c>
      <c r="B68" s="1">
        <v>6.5891749530703231E-2</v>
      </c>
      <c r="C68" s="1">
        <v>0.13504299462122796</v>
      </c>
      <c r="D68" s="1">
        <v>9.8842423813421051E-2</v>
      </c>
      <c r="E68" s="1">
        <v>-4.1781614267307962E-3</v>
      </c>
      <c r="F68" s="1">
        <v>9.9411210687683313E-2</v>
      </c>
      <c r="G68" s="1">
        <v>6.5545527644628093E-2</v>
      </c>
    </row>
    <row r="69" spans="1:7">
      <c r="A69" s="5">
        <v>45870</v>
      </c>
      <c r="B69" s="1">
        <v>9.5126547034226662E-4</v>
      </c>
      <c r="C69" s="1">
        <v>1.9972370281325456E-3</v>
      </c>
      <c r="D69" s="1">
        <v>3.4219656823886536E-2</v>
      </c>
      <c r="E69" s="1">
        <v>2.9763192908220642E-3</v>
      </c>
      <c r="F69" s="1">
        <v>2.1829018658099303E-2</v>
      </c>
      <c r="G69" s="1">
        <v>1.6803489958241817E-3</v>
      </c>
    </row>
    <row r="70" spans="1:7">
      <c r="A70" s="5">
        <v>45901</v>
      </c>
      <c r="B70" s="1">
        <v>-3.0939909955634427E-2</v>
      </c>
      <c r="C70" s="1">
        <v>3.4623533333606113E-2</v>
      </c>
      <c r="D70" s="1">
        <v>-4.1129383770822543E-3</v>
      </c>
      <c r="E70" s="1">
        <v>1.5408493333510933E-2</v>
      </c>
      <c r="F70" s="1">
        <v>-1.1721644307579994E-3</v>
      </c>
      <c r="G70" s="1">
        <v>5.0570143180994294E-2</v>
      </c>
    </row>
    <row r="71" spans="1:7">
      <c r="A71" s="5">
        <v>45931</v>
      </c>
      <c r="B71" s="1">
        <v>1.4451348632730503E-2</v>
      </c>
      <c r="C71" s="1">
        <v>9.638033083560045E-3</v>
      </c>
      <c r="D71" s="1">
        <v>-9.025244952073427E-3</v>
      </c>
      <c r="E71" s="1">
        <v>3.5420995186108816E-3</v>
      </c>
      <c r="F71" s="1">
        <v>-7.9415513738973403E-2</v>
      </c>
      <c r="G71" s="1">
        <v>-1.7911427438468377E-2</v>
      </c>
    </row>
    <row r="72" spans="1:7">
      <c r="A72" s="5">
        <v>45962</v>
      </c>
      <c r="B72" s="1">
        <v>-3.5672683848758567E-2</v>
      </c>
      <c r="C72" s="1">
        <v>-0.16184320049932077</v>
      </c>
      <c r="D72" s="1">
        <v>-1.4967753716942428E-2</v>
      </c>
      <c r="E72" s="1">
        <v>2.385452173156245E-2</v>
      </c>
      <c r="F72" s="1">
        <v>-1.0746626234533797E-2</v>
      </c>
      <c r="G72" s="1">
        <v>0.15193506112335606</v>
      </c>
    </row>
    <row r="73" spans="1:7">
      <c r="A73" s="5">
        <v>45992</v>
      </c>
      <c r="B73" s="1">
        <v>3.6753066022487081E-3</v>
      </c>
      <c r="C73" s="1">
        <v>0.12950171201726562</v>
      </c>
      <c r="D73" s="1">
        <v>3.4540270963329843E-3</v>
      </c>
      <c r="E73" s="1">
        <v>-1.9696939797413378E-2</v>
      </c>
      <c r="F73" s="1">
        <v>2.9884111680502166E-2</v>
      </c>
      <c r="G73" s="1">
        <v>4.9735338802234845E-2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3.7"/>
  <cols>
    <col min="1" max="1" width="46.1640625" customWidth="1"/>
    <col min="2" max="2" width="72" customWidth="1"/>
  </cols>
  <sheetData>
    <row r="1" spans="1:2" ht="20">
      <c r="A1" s="2" t="s">
        <v>7</v>
      </c>
    </row>
    <row r="3" spans="1:2">
      <c r="A3" s="3" t="s">
        <v>8</v>
      </c>
      <c r="B3" t="s">
        <v>9</v>
      </c>
    </row>
    <row r="4" spans="1:2">
      <c r="A4" s="3" t="s">
        <v>10</v>
      </c>
      <c r="B4" t="s">
        <v>11</v>
      </c>
    </row>
    <row r="5" spans="1:2">
      <c r="A5" s="3" t="s">
        <v>12</v>
      </c>
      <c r="B5" t="s">
        <v>13</v>
      </c>
    </row>
    <row r="6" spans="1:2">
      <c r="A6" s="3" t="s">
        <v>14</v>
      </c>
      <c r="B6" t="s">
        <v>15</v>
      </c>
    </row>
    <row r="7" spans="1:2">
      <c r="A7" s="3" t="s">
        <v>16</v>
      </c>
      <c r="B7" t="s">
        <v>17</v>
      </c>
    </row>
    <row r="8" spans="1:2">
      <c r="A8" s="3" t="s">
        <v>18</v>
      </c>
      <c r="B8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Monthly_Returns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2026-06-03T21:50:45Z</dcterms:modified>
</cp:coreProperties>
</file>
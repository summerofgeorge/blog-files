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blog-files\"/>
    </mc:Choice>
  </mc:AlternateContent>
  <xr:revisionPtr revIDLastSave="0" documentId="13_ncr:1_{82621220-0BAD-4F59-9BC4-518C1860EBB1}" xr6:coauthVersionLast="47" xr6:coauthVersionMax="47" xr10:uidLastSave="{00000000-0000-0000-0000-000000000000}"/>
  <bookViews>
    <workbookView xWindow="-23136" yWindow="-96" windowWidth="23232" windowHeight="13152" activeTab="1" xr2:uid="{00000000-000D-0000-FFFF-FFFF00000000}"/>
  </bookViews>
  <sheets>
    <sheet name="data" sheetId="2" r:id="rId1"/>
    <sheet name="analysi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l="1"/>
  <c r="B8" i="3" a="1"/>
  <c r="B8" i="3" l="1"/>
  <c r="B22" i="3" a="1"/>
  <c r="B22" i="3" l="1"/>
  <c r="B35" i="3" a="1"/>
  <c r="B35" i="3" l="1"/>
  <c r="B48" i="3" a="1"/>
  <c r="B48" i="3" l="1"/>
  <c r="B71" i="3" a="1"/>
  <c r="B71" i="3" l="1"/>
  <c r="B80" i="3" a="1"/>
  <c r="B80" i="3" l="1"/>
  <c r="B87" i="3" a="1"/>
  <c r="B87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</futureMetadata>
  <cellMetadata count="1">
    <bk>
      <rc t="1" v="0"/>
    </bk>
  </cellMetadata>
  <valueMetadata count="5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sales = xl(%P2%, headers=True)
sales["date"] = pd.to_datetime(sales["date"])
sales["amount"] = pd.to_numeric(sales["amount"])
sales = sales.sort_values("date").reset_index(drop=True)
sales.head()</code>
    </pythonScript>
    <pythonScript>
      <code>fiscal_year_end = "JUN"
fiscal = sales["date"].dt.to_period(f"Q-{fiscal_year_end}")
sales["fiscal_year"] = fiscal.dt.qyear.astype(int)
sales["fiscal_quarter"] = fiscal.dt.quarter.astype(int)
sales["fiscal_period"] = (
    "FY" + sales["fiscal_year"].astype(str)
    + " Q" + sales["fiscal_quarter"].astype(str)
)
sales[
    ["date", "fiscal_year", "fiscal_quarter", "fiscal_period"]
].head(10)</code>
    </pythonScript>
    <pythonScript>
      <code>week_start_day = 0
days_since_week_start = (
    sales["date"].dt.weekday - week_start_day
) %% 7
sales["week_start"] = (
    sales["date"]
    - pd.to_timedelta(days_since_week_start, unit="D")
)
sales["week_end"] = (
    sales["week_start"]
    + pd.Timedelta(days=6)
)
sales[
    ["date", "week_start", "week_end"]
].head(10)</code>
    </pythonScript>
    <pythonScript>
      <code>month_start = (
    sales["date"]
    .dt.to_period("M")
    .dt.to_timestamp()
)
sales["month_start"] = month_start
sales["month_end"] = (
    month_start
    + pd.offsets.MonthEnd(0)
)
sales[
    ["date", "month_start", "month_end"]
].head(10)</code>
    </pythonScript>
    <pythonScript>
      <code>calendar_view = sales[
    [
        "transaction_id",
        "date",
        "amount",
        "fiscal_year",
        "fiscal_quarter",
        "fiscal_period",
        "week_start",
        "week_end",
        "month_start",
        "month_end"
    ]
]
calendar_view</code>
    </pythonScript>
    <pythonScript>
      <code>fiscal_summary = (
    sales
    .groupby(
        [
            "fiscal_year",
            "fiscal_quarter",
            "fiscal_period"
        ],
        as_index=False
    )["amount"]
    .sum()
    .sort_values(
        ["fiscal_year", "fiscal_quarter"]
    )
)
fiscal_summary</code>
    </pythonScript>
    <pythonScript>
      <code>expected = {
    pd.Timestamp("2025-06-30"): "FY2025 Q4",
    pd.Timestamp("2025-07-01"): "FY2026 Q1",
    pd.Timestamp("2026-06-30"): "FY2026 Q4",
    pd.Timestamp("2026-07-01"): "FY2027 Q1"
}
boundary_checks = sales.loc[
    sales["date"].isin(expected),
    ["date", "fiscal_period"]
].copy()
boundary_checks["expected"] = (
    boundary_checks["date"].map(expected)
)
boundary_checks["matches"] = (
    boundary_checks["fiscal_period"]
    == boundary_checks["expected"]
)
boundary_checks</code>
    </pythonScript>
    <pythonScript>
      <code>checks = pd.DataFrame({
    "check": [
        "fiscal quarters are between 1 and 4",
        "all business weeks start Monday",
        "all month starts are day 1",
        "all month ends are month-end",
        "all fiscal boundary checks passed"
    ],
    "passed": [
        sales["fiscal_quarter"].between(1, 4).all(),
        sales["week_start"].dt.weekday.eq(0).all(),
        sales["month_start"].dt.day.eq(1).all(),
        sales["month_end"].dt.is_month_end.all(),
        boundary_checks["matches"].all()
    ]
})
checks</code>
    </pythonScript>
  </pythonScripts>
</python>
</file>

<file path=xl/sharedStrings.xml><?xml version="1.0" encoding="utf-8"?>
<sst xmlns="http://schemas.openxmlformats.org/spreadsheetml/2006/main" count="23" uniqueCount="23">
  <si>
    <t>transaction_id</t>
  </si>
  <si>
    <t>date</t>
  </si>
  <si>
    <t>amount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</si>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</sst>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Aptos"/>
    </font>
    <font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164" fontId="2" fillId="0" borderId="0" xfId="0" applyNumberFormat="1" applyFont="1"/>
    <xf numFmtId="3" fontId="2" fillId="0" borderId="0" xfId="0" applyNumberFormat="1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Relationship Id="rId14" Type="http://schemas.microsoft.com/office/2023/09/relationships/Python" Target="pytho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1">
  <rv s="0">
    <fb>45835</fb>
    <v>0</v>
  </rv>
  <rv s="0">
    <fb>45838</fb>
    <v>0</v>
  </rv>
  <rv s="0">
    <fb>45839</fb>
    <v>0</v>
  </rv>
  <rv s="0">
    <fb>45845</fb>
    <v>0</v>
  </rv>
  <rv s="0">
    <fb>45869</fb>
    <v>0</v>
  </rv>
  <rv s="0">
    <fb>45870</fb>
    <v>0</v>
  </rv>
  <rv s="0">
    <fb>45930</fb>
    <v>0</v>
  </rv>
  <rv s="0">
    <fb>45931</fb>
    <v>0</v>
  </rv>
  <rv s="0">
    <fb>46022</fb>
    <v>0</v>
  </rv>
  <rv s="0">
    <fb>46023</fb>
    <v>0</v>
  </rv>
  <rv s="0">
    <fb>45831</fb>
    <v>0</v>
  </rv>
  <rv s="0">
    <fb>45837</fb>
    <v>0</v>
  </rv>
  <rv s="0">
    <fb>45844</fb>
    <v>0</v>
  </rv>
  <rv s="0">
    <fb>45851</fb>
    <v>0</v>
  </rv>
  <rv s="0">
    <fb>45866</fb>
    <v>0</v>
  </rv>
  <rv s="0">
    <fb>45872</fb>
    <v>0</v>
  </rv>
  <rv s="0">
    <fb>45929</fb>
    <v>0</v>
  </rv>
  <rv s="0">
    <fb>45935</fb>
    <v>0</v>
  </rv>
  <rv s="0">
    <fb>46020</fb>
    <v>0</v>
  </rv>
  <rv s="0">
    <fb>46026</fb>
    <v>0</v>
  </rv>
  <rv s="0">
    <fb>45809</fb>
    <v>0</v>
  </rv>
  <rv s="0">
    <fb>45900</fb>
    <v>0</v>
  </rv>
  <rv s="0">
    <fb>45901</fb>
    <v>0</v>
  </rv>
  <rv s="0">
    <fb>45961</fb>
    <v>0</v>
  </rv>
  <rv s="0">
    <fb>45992</fb>
    <v>0</v>
  </rv>
  <rv s="0">
    <fb>46053</fb>
    <v>0</v>
  </rv>
  <rv s="0">
    <fb>46112</fb>
    <v>0</v>
  </rv>
  <rv s="0">
    <fb>46111</fb>
    <v>0</v>
  </rv>
  <rv s="0">
    <fb>46117</fb>
    <v>0</v>
  </rv>
  <rv s="0">
    <fb>46082</fb>
    <v>0</v>
  </rv>
  <rv s="0">
    <fb>46113</fb>
    <v>0</v>
  </rv>
  <rv s="0">
    <fb>46142</fb>
    <v>0</v>
  </rv>
  <rv s="0">
    <fb>46171</fb>
    <v>0</v>
  </rv>
  <rv s="0">
    <fb>46167</fb>
    <v>0</v>
  </rv>
  <rv s="0">
    <fb>46173</fb>
    <v>0</v>
  </rv>
  <rv s="0">
    <fb>46143</fb>
    <v>0</v>
  </rv>
  <rv s="0">
    <fb>46174</fb>
    <v>0</v>
  </rv>
  <rv s="0">
    <fb>46180</fb>
    <v>0</v>
  </rv>
  <rv s="0">
    <fb>46203</fb>
    <v>0</v>
  </rv>
  <rv s="0">
    <fb>46202</fb>
    <v>0</v>
  </rv>
  <rv s="0">
    <fb>46208</fb>
    <v>0</v>
  </rv>
  <rv s="0">
    <fb>46204</fb>
    <v>0</v>
  </rv>
  <rv s="0">
    <fb>46234</fb>
    <v>0</v>
  </rv>
  <rv s="0">
    <fb>46209</fb>
    <v>0</v>
  </rv>
  <rv s="0">
    <fb>46215</fb>
    <v>0</v>
  </rv>
  <rv s="0">
    <fb>46230</fb>
    <v>0</v>
  </rv>
  <rv s="0">
    <fb>46236</fb>
    <v>0</v>
  </rv>
  <rv s="0">
    <fb>46235</fb>
    <v>0</v>
  </rv>
  <rv s="0">
    <fb>46265</fb>
    <v>0</v>
  </rv>
  <rv s="0">
    <fb>46237</fb>
    <v>0</v>
  </rv>
  <rv s="0">
    <fb>46243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m/d/yyyy"/>
    </x:dxf>
  </dxfs>
  <richStyles>
    <rSty dxfid="0"/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C21" totalsRowShown="0">
  <tableColumns count="3">
    <tableColumn id="1" xr3:uid="{00000000-0010-0000-0000-000001000000}" name="transaction_id"/>
    <tableColumn id="2" xr3:uid="{00000000-0010-0000-0000-000002000000}" name="date"/>
    <tableColumn id="3" xr3:uid="{00000000-0010-0000-0000-000003000000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3.7"/>
  <cols>
    <col min="1" max="1" width="16" customWidth="1"/>
    <col min="2" max="3" width="14" customWidth="1"/>
  </cols>
  <sheetData>
    <row r="1" spans="1:3" ht="14.35">
      <c r="A1" s="2" t="s">
        <v>0</v>
      </c>
      <c r="B1" s="2" t="s">
        <v>1</v>
      </c>
      <c r="C1" s="2" t="s">
        <v>2</v>
      </c>
    </row>
    <row r="2" spans="1:3" ht="14.35">
      <c r="A2" s="1" t="s">
        <v>3</v>
      </c>
      <c r="B2" s="3">
        <v>45835</v>
      </c>
      <c r="C2" s="4">
        <v>18250</v>
      </c>
    </row>
    <row r="3" spans="1:3" ht="14.35">
      <c r="A3" s="1" t="s">
        <v>4</v>
      </c>
      <c r="B3" s="3">
        <v>45838</v>
      </c>
      <c r="C3" s="4">
        <v>9400</v>
      </c>
    </row>
    <row r="4" spans="1:3" ht="14.35">
      <c r="A4" s="1" t="s">
        <v>5</v>
      </c>
      <c r="B4" s="3">
        <v>45839</v>
      </c>
      <c r="C4" s="4">
        <v>11750</v>
      </c>
    </row>
    <row r="5" spans="1:3" ht="14.35">
      <c r="A5" s="1" t="s">
        <v>6</v>
      </c>
      <c r="B5" s="3">
        <v>45845</v>
      </c>
      <c r="C5" s="4">
        <v>13300</v>
      </c>
    </row>
    <row r="6" spans="1:3" ht="14.35">
      <c r="A6" s="1" t="s">
        <v>7</v>
      </c>
      <c r="B6" s="3">
        <v>45869</v>
      </c>
      <c r="C6" s="4">
        <v>8800</v>
      </c>
    </row>
    <row r="7" spans="1:3" ht="14.35">
      <c r="A7" s="1" t="s">
        <v>8</v>
      </c>
      <c r="B7" s="3">
        <v>45870</v>
      </c>
      <c r="C7" s="4">
        <v>14600</v>
      </c>
    </row>
    <row r="8" spans="1:3" ht="14.35">
      <c r="A8" s="1" t="s">
        <v>9</v>
      </c>
      <c r="B8" s="3">
        <v>45930</v>
      </c>
      <c r="C8" s="4">
        <v>15350</v>
      </c>
    </row>
    <row r="9" spans="1:3" ht="14.35">
      <c r="A9" s="1" t="s">
        <v>10</v>
      </c>
      <c r="B9" s="3">
        <v>45931</v>
      </c>
      <c r="C9" s="4">
        <v>12700</v>
      </c>
    </row>
    <row r="10" spans="1:3" ht="14.35">
      <c r="A10" s="1" t="s">
        <v>11</v>
      </c>
      <c r="B10" s="3">
        <v>46022</v>
      </c>
      <c r="C10" s="4">
        <v>21000</v>
      </c>
    </row>
    <row r="11" spans="1:3" ht="14.35">
      <c r="A11" s="1" t="s">
        <v>12</v>
      </c>
      <c r="B11" s="3">
        <v>46023</v>
      </c>
      <c r="C11" s="4">
        <v>7800</v>
      </c>
    </row>
    <row r="12" spans="1:3" ht="14.35">
      <c r="A12" s="1" t="s">
        <v>13</v>
      </c>
      <c r="B12" s="3">
        <v>46112</v>
      </c>
      <c r="C12" s="4">
        <v>16500</v>
      </c>
    </row>
    <row r="13" spans="1:3" ht="14.35">
      <c r="A13" s="1" t="s">
        <v>14</v>
      </c>
      <c r="B13" s="3">
        <v>46113</v>
      </c>
      <c r="C13" s="4">
        <v>17250</v>
      </c>
    </row>
    <row r="14" spans="1:3" ht="14.35">
      <c r="A14" s="1" t="s">
        <v>15</v>
      </c>
      <c r="B14" s="3">
        <v>46171</v>
      </c>
      <c r="C14" s="4">
        <v>14300</v>
      </c>
    </row>
    <row r="15" spans="1:3" ht="14.35">
      <c r="A15" s="1" t="s">
        <v>16</v>
      </c>
      <c r="B15" s="3">
        <v>46174</v>
      </c>
      <c r="C15" s="4">
        <v>15100</v>
      </c>
    </row>
    <row r="16" spans="1:3" ht="14.35">
      <c r="A16" s="1" t="s">
        <v>17</v>
      </c>
      <c r="B16" s="3">
        <v>46203</v>
      </c>
      <c r="C16" s="4">
        <v>22500</v>
      </c>
    </row>
    <row r="17" spans="1:3" ht="14.35">
      <c r="A17" s="1" t="s">
        <v>18</v>
      </c>
      <c r="B17" s="3">
        <v>46204</v>
      </c>
      <c r="C17" s="4">
        <v>19400</v>
      </c>
    </row>
    <row r="18" spans="1:3" ht="14.35">
      <c r="A18" s="1" t="s">
        <v>19</v>
      </c>
      <c r="B18" s="3">
        <v>46209</v>
      </c>
      <c r="C18" s="4">
        <v>13200</v>
      </c>
    </row>
    <row r="19" spans="1:3" ht="14.35">
      <c r="A19" s="1" t="s">
        <v>20</v>
      </c>
      <c r="B19" s="3">
        <v>46234</v>
      </c>
      <c r="C19" s="4">
        <v>17500</v>
      </c>
    </row>
    <row r="20" spans="1:3" ht="14.35">
      <c r="A20" s="1" t="s">
        <v>21</v>
      </c>
      <c r="B20" s="3">
        <v>46235</v>
      </c>
      <c r="C20" s="4">
        <v>9200</v>
      </c>
    </row>
    <row r="21" spans="1:3" ht="14.35">
      <c r="A21" s="1" t="s">
        <v>22</v>
      </c>
      <c r="B21" s="3">
        <v>46237</v>
      </c>
      <c r="C21" s="4">
        <v>16800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92"/>
  <sheetViews>
    <sheetView tabSelected="1" workbookViewId="0">
      <selection activeCell="C92" sqref="B87:C92"/>
    </sheetView>
  </sheetViews>
  <sheetFormatPr defaultRowHeight="13.7"/>
  <cols>
    <col min="2" max="2" width="29.44140625" bestFit="1" customWidth="1"/>
    <col min="3" max="4" width="11.5" bestFit="1" customWidth="1"/>
    <col min="5" max="5" width="10.77734375" bestFit="1" customWidth="1"/>
    <col min="6" max="6" width="11.5" bestFit="1" customWidth="1"/>
    <col min="7" max="7" width="10.77734375" bestFit="1" customWidth="1"/>
    <col min="8" max="8" width="10.5546875" customWidth="1"/>
    <col min="9" max="9" width="9.21875" bestFit="1" customWidth="1"/>
    <col min="10" max="10" width="10.1640625" bestFit="1" customWidth="1"/>
    <col min="11" max="11" width="10.88671875" customWidth="1"/>
  </cols>
  <sheetData>
    <row r="1" spans="2:5">
      <c r="B1" t="str" cm="1">
        <f t="array" ref="B1:D6">_xlfn._xlws.PY(0,0,sales_data[#All])</f>
        <v>transaction_id</v>
      </c>
      <c r="C1" t="str">
        <v>date</v>
      </c>
      <c r="D1" t="str">
        <v>amount</v>
      </c>
    </row>
    <row r="2" spans="2:5">
      <c r="B2" t="str">
        <v>T001</v>
      </c>
      <c r="C2" vm="1">
        <v>45835</v>
      </c>
      <c r="D2">
        <v>18250</v>
      </c>
    </row>
    <row r="3" spans="2:5">
      <c r="B3" t="str">
        <v>T002</v>
      </c>
      <c r="C3" vm="2">
        <v>45838</v>
      </c>
      <c r="D3">
        <v>9400</v>
      </c>
    </row>
    <row r="4" spans="2:5">
      <c r="B4" t="str">
        <v>T003</v>
      </c>
      <c r="C4" vm="3">
        <v>45839</v>
      </c>
      <c r="D4">
        <v>11750</v>
      </c>
    </row>
    <row r="5" spans="2:5">
      <c r="B5" t="str">
        <v>T004</v>
      </c>
      <c r="C5" vm="4">
        <v>45845</v>
      </c>
      <c r="D5">
        <v>13300</v>
      </c>
    </row>
    <row r="6" spans="2:5">
      <c r="B6" t="str">
        <v>T005</v>
      </c>
      <c r="C6" vm="5">
        <v>45869</v>
      </c>
      <c r="D6">
        <v>8800</v>
      </c>
    </row>
    <row r="8" spans="2:5">
      <c r="B8" t="str" cm="1">
        <f t="array" ref="B8:E18">_xlfn._xlws.PY(1,0)</f>
        <v>date</v>
      </c>
      <c r="C8" t="str">
        <v>fiscal_year</v>
      </c>
      <c r="D8" t="str">
        <v>fiscal_quarter</v>
      </c>
      <c r="E8" t="str">
        <v>fiscal_period</v>
      </c>
    </row>
    <row r="9" spans="2:5">
      <c r="B9" vm="1">
        <v>45835</v>
      </c>
      <c r="C9">
        <v>2025</v>
      </c>
      <c r="D9">
        <v>4</v>
      </c>
      <c r="E9" t="str">
        <v>FY2025 Q4</v>
      </c>
    </row>
    <row r="10" spans="2:5">
      <c r="B10" vm="2">
        <v>45838</v>
      </c>
      <c r="C10">
        <v>2025</v>
      </c>
      <c r="D10">
        <v>4</v>
      </c>
      <c r="E10" t="str">
        <v>FY2025 Q4</v>
      </c>
    </row>
    <row r="11" spans="2:5">
      <c r="B11" vm="3">
        <v>45839</v>
      </c>
      <c r="C11">
        <v>2026</v>
      </c>
      <c r="D11">
        <v>1</v>
      </c>
      <c r="E11" t="str">
        <v>FY2026 Q1</v>
      </c>
    </row>
    <row r="12" spans="2:5">
      <c r="B12" vm="4">
        <v>45845</v>
      </c>
      <c r="C12">
        <v>2026</v>
      </c>
      <c r="D12">
        <v>1</v>
      </c>
      <c r="E12" t="str">
        <v>FY2026 Q1</v>
      </c>
    </row>
    <row r="13" spans="2:5">
      <c r="B13" vm="5">
        <v>45869</v>
      </c>
      <c r="C13">
        <v>2026</v>
      </c>
      <c r="D13">
        <v>1</v>
      </c>
      <c r="E13" t="str">
        <v>FY2026 Q1</v>
      </c>
    </row>
    <row r="14" spans="2:5">
      <c r="B14" vm="6">
        <v>45870</v>
      </c>
      <c r="C14">
        <v>2026</v>
      </c>
      <c r="D14">
        <v>1</v>
      </c>
      <c r="E14" t="str">
        <v>FY2026 Q1</v>
      </c>
    </row>
    <row r="15" spans="2:5">
      <c r="B15" vm="7">
        <v>45930</v>
      </c>
      <c r="C15">
        <v>2026</v>
      </c>
      <c r="D15">
        <v>1</v>
      </c>
      <c r="E15" t="str">
        <v>FY2026 Q1</v>
      </c>
    </row>
    <row r="16" spans="2:5">
      <c r="B16" vm="8">
        <v>45931</v>
      </c>
      <c r="C16">
        <v>2026</v>
      </c>
      <c r="D16">
        <v>2</v>
      </c>
      <c r="E16" t="str">
        <v>FY2026 Q2</v>
      </c>
    </row>
    <row r="17" spans="2:5">
      <c r="B17" vm="9">
        <v>46022</v>
      </c>
      <c r="C17">
        <v>2026</v>
      </c>
      <c r="D17">
        <v>2</v>
      </c>
      <c r="E17" t="str">
        <v>FY2026 Q2</v>
      </c>
    </row>
    <row r="18" spans="2:5">
      <c r="B18" vm="10">
        <v>46023</v>
      </c>
      <c r="C18">
        <v>2026</v>
      </c>
      <c r="D18">
        <v>3</v>
      </c>
      <c r="E18" t="str">
        <v>FY2026 Q3</v>
      </c>
    </row>
    <row r="22" spans="2:5">
      <c r="B22" s="5" t="str" cm="1">
        <f t="array" ref="B22:D32">_xlfn._xlws.PY(2,0)</f>
        <v>date</v>
      </c>
      <c r="C22" s="5" t="str">
        <v>week_start</v>
      </c>
      <c r="D22" s="5" t="str">
        <v>week_end</v>
      </c>
    </row>
    <row r="23" spans="2:5">
      <c r="B23" s="5" vm="1">
        <v>45835</v>
      </c>
      <c r="C23" s="5" vm="11">
        <v>45831</v>
      </c>
      <c r="D23" s="5" vm="12">
        <v>45837</v>
      </c>
    </row>
    <row r="24" spans="2:5">
      <c r="B24" s="5" vm="2">
        <v>45838</v>
      </c>
      <c r="C24" s="5" vm="2">
        <v>45838</v>
      </c>
      <c r="D24" s="5" vm="13">
        <v>45844</v>
      </c>
    </row>
    <row r="25" spans="2:5">
      <c r="B25" s="5" vm="3">
        <v>45839</v>
      </c>
      <c r="C25" s="5" vm="2">
        <v>45838</v>
      </c>
      <c r="D25" s="5" vm="13">
        <v>45844</v>
      </c>
    </row>
    <row r="26" spans="2:5">
      <c r="B26" s="5" vm="4">
        <v>45845</v>
      </c>
      <c r="C26" s="5" vm="4">
        <v>45845</v>
      </c>
      <c r="D26" s="5" vm="14">
        <v>45851</v>
      </c>
    </row>
    <row r="27" spans="2:5">
      <c r="B27" s="5" vm="5">
        <v>45869</v>
      </c>
      <c r="C27" s="5" vm="15">
        <v>45866</v>
      </c>
      <c r="D27" s="5" vm="16">
        <v>45872</v>
      </c>
    </row>
    <row r="28" spans="2:5">
      <c r="B28" s="5" vm="6">
        <v>45870</v>
      </c>
      <c r="C28" s="5" vm="15">
        <v>45866</v>
      </c>
      <c r="D28" s="5" vm="16">
        <v>45872</v>
      </c>
    </row>
    <row r="29" spans="2:5">
      <c r="B29" s="5" vm="7">
        <v>45930</v>
      </c>
      <c r="C29" s="5" vm="17">
        <v>45929</v>
      </c>
      <c r="D29" s="5" vm="18">
        <v>45935</v>
      </c>
    </row>
    <row r="30" spans="2:5">
      <c r="B30" s="5" vm="8">
        <v>45931</v>
      </c>
      <c r="C30" s="5" vm="17">
        <v>45929</v>
      </c>
      <c r="D30" s="5" vm="18">
        <v>45935</v>
      </c>
    </row>
    <row r="31" spans="2:5">
      <c r="B31" s="5" vm="9">
        <v>46022</v>
      </c>
      <c r="C31" s="5" vm="19">
        <v>46020</v>
      </c>
      <c r="D31" s="5" vm="20">
        <v>46026</v>
      </c>
    </row>
    <row r="32" spans="2:5">
      <c r="B32" s="5" vm="10">
        <v>46023</v>
      </c>
      <c r="C32" s="5" vm="19">
        <v>46020</v>
      </c>
      <c r="D32" s="5" vm="20">
        <v>46026</v>
      </c>
    </row>
    <row r="35" spans="2:11">
      <c r="B35" s="5" t="str" cm="1">
        <f t="array" ref="B35:D45">_xlfn._xlws.PY(3,0)</f>
        <v>date</v>
      </c>
      <c r="C35" s="5" t="str">
        <v>month_start</v>
      </c>
      <c r="D35" s="5" t="str">
        <v>month_end</v>
      </c>
    </row>
    <row r="36" spans="2:11">
      <c r="B36" s="5" vm="1">
        <v>45835</v>
      </c>
      <c r="C36" s="5" vm="21">
        <v>45809</v>
      </c>
      <c r="D36" s="5" vm="2">
        <v>45838</v>
      </c>
    </row>
    <row r="37" spans="2:11">
      <c r="B37" s="5" vm="2">
        <v>45838</v>
      </c>
      <c r="C37" s="5" vm="21">
        <v>45809</v>
      </c>
      <c r="D37" s="5" vm="2">
        <v>45838</v>
      </c>
    </row>
    <row r="38" spans="2:11">
      <c r="B38" s="5" vm="3">
        <v>45839</v>
      </c>
      <c r="C38" s="5" vm="3">
        <v>45839</v>
      </c>
      <c r="D38" s="5" vm="5">
        <v>45869</v>
      </c>
    </row>
    <row r="39" spans="2:11">
      <c r="B39" s="5" vm="4">
        <v>45845</v>
      </c>
      <c r="C39" s="5" vm="3">
        <v>45839</v>
      </c>
      <c r="D39" s="5" vm="5">
        <v>45869</v>
      </c>
    </row>
    <row r="40" spans="2:11">
      <c r="B40" s="5" vm="5">
        <v>45869</v>
      </c>
      <c r="C40" s="5" vm="3">
        <v>45839</v>
      </c>
      <c r="D40" s="5" vm="5">
        <v>45869</v>
      </c>
    </row>
    <row r="41" spans="2:11">
      <c r="B41" s="5" vm="6">
        <v>45870</v>
      </c>
      <c r="C41" s="5" vm="6">
        <v>45870</v>
      </c>
      <c r="D41" s="5" vm="22">
        <v>45900</v>
      </c>
    </row>
    <row r="42" spans="2:11">
      <c r="B42" s="5" vm="7">
        <v>45930</v>
      </c>
      <c r="C42" s="5" vm="23">
        <v>45901</v>
      </c>
      <c r="D42" s="5" vm="7">
        <v>45930</v>
      </c>
    </row>
    <row r="43" spans="2:11">
      <c r="B43" s="5" vm="8">
        <v>45931</v>
      </c>
      <c r="C43" s="5" vm="8">
        <v>45931</v>
      </c>
      <c r="D43" s="5" vm="24">
        <v>45961</v>
      </c>
    </row>
    <row r="44" spans="2:11">
      <c r="B44" s="5" vm="9">
        <v>46022</v>
      </c>
      <c r="C44" s="5" vm="25">
        <v>45992</v>
      </c>
      <c r="D44" s="5" vm="9">
        <v>46022</v>
      </c>
    </row>
    <row r="45" spans="2:11">
      <c r="B45" s="5" vm="10">
        <v>46023</v>
      </c>
      <c r="C45" s="5" vm="10">
        <v>46023</v>
      </c>
      <c r="D45" s="5" vm="26">
        <v>46053</v>
      </c>
    </row>
    <row r="48" spans="2:11">
      <c r="B48" t="str" cm="1">
        <f t="array" ref="B48:K68">_xlfn._xlws.PY(4,0)</f>
        <v>transaction_id</v>
      </c>
      <c r="C48" t="str">
        <v>date</v>
      </c>
      <c r="D48" t="str">
        <v>amount</v>
      </c>
      <c r="E48" t="str">
        <v>fiscal_year</v>
      </c>
      <c r="F48" t="str">
        <v>fiscal_quarter</v>
      </c>
      <c r="G48" t="str">
        <v>fiscal_period</v>
      </c>
      <c r="H48" t="str">
        <v>week_start</v>
      </c>
      <c r="I48" t="str">
        <v>week_end</v>
      </c>
      <c r="J48" t="str">
        <v>month_start</v>
      </c>
      <c r="K48" t="str">
        <v>month_end</v>
      </c>
    </row>
    <row r="49" spans="2:11">
      <c r="B49" t="str">
        <v>T001</v>
      </c>
      <c r="C49" vm="1">
        <v>45835</v>
      </c>
      <c r="D49">
        <v>18250</v>
      </c>
      <c r="E49">
        <v>2025</v>
      </c>
      <c r="F49">
        <v>4</v>
      </c>
      <c r="G49" t="str">
        <v>FY2025 Q4</v>
      </c>
      <c r="H49" vm="11">
        <v>45831</v>
      </c>
      <c r="I49" vm="12">
        <v>45837</v>
      </c>
      <c r="J49" vm="21">
        <v>45809</v>
      </c>
      <c r="K49" vm="2">
        <v>45838</v>
      </c>
    </row>
    <row r="50" spans="2:11">
      <c r="B50" t="str">
        <v>T002</v>
      </c>
      <c r="C50" vm="2">
        <v>45838</v>
      </c>
      <c r="D50">
        <v>9400</v>
      </c>
      <c r="E50">
        <v>2025</v>
      </c>
      <c r="F50">
        <v>4</v>
      </c>
      <c r="G50" t="str">
        <v>FY2025 Q4</v>
      </c>
      <c r="H50" vm="2">
        <v>45838</v>
      </c>
      <c r="I50" vm="13">
        <v>45844</v>
      </c>
      <c r="J50" vm="21">
        <v>45809</v>
      </c>
      <c r="K50" vm="2">
        <v>45838</v>
      </c>
    </row>
    <row r="51" spans="2:11">
      <c r="B51" t="str">
        <v>T003</v>
      </c>
      <c r="C51" vm="3">
        <v>45839</v>
      </c>
      <c r="D51">
        <v>11750</v>
      </c>
      <c r="E51">
        <v>2026</v>
      </c>
      <c r="F51">
        <v>1</v>
      </c>
      <c r="G51" t="str">
        <v>FY2026 Q1</v>
      </c>
      <c r="H51" vm="2">
        <v>45838</v>
      </c>
      <c r="I51" vm="13">
        <v>45844</v>
      </c>
      <c r="J51" vm="3">
        <v>45839</v>
      </c>
      <c r="K51" vm="5">
        <v>45869</v>
      </c>
    </row>
    <row r="52" spans="2:11">
      <c r="B52" t="str">
        <v>T004</v>
      </c>
      <c r="C52" vm="4">
        <v>45845</v>
      </c>
      <c r="D52">
        <v>13300</v>
      </c>
      <c r="E52">
        <v>2026</v>
      </c>
      <c r="F52">
        <v>1</v>
      </c>
      <c r="G52" t="str">
        <v>FY2026 Q1</v>
      </c>
      <c r="H52" vm="4">
        <v>45845</v>
      </c>
      <c r="I52" vm="14">
        <v>45851</v>
      </c>
      <c r="J52" vm="3">
        <v>45839</v>
      </c>
      <c r="K52" vm="5">
        <v>45869</v>
      </c>
    </row>
    <row r="53" spans="2:11">
      <c r="B53" t="str">
        <v>T005</v>
      </c>
      <c r="C53" vm="5">
        <v>45869</v>
      </c>
      <c r="D53">
        <v>8800</v>
      </c>
      <c r="E53">
        <v>2026</v>
      </c>
      <c r="F53">
        <v>1</v>
      </c>
      <c r="G53" t="str">
        <v>FY2026 Q1</v>
      </c>
      <c r="H53" vm="15">
        <v>45866</v>
      </c>
      <c r="I53" vm="16">
        <v>45872</v>
      </c>
      <c r="J53" vm="3">
        <v>45839</v>
      </c>
      <c r="K53" vm="5">
        <v>45869</v>
      </c>
    </row>
    <row r="54" spans="2:11">
      <c r="B54" t="str">
        <v>T006</v>
      </c>
      <c r="C54" vm="6">
        <v>45870</v>
      </c>
      <c r="D54">
        <v>14600</v>
      </c>
      <c r="E54">
        <v>2026</v>
      </c>
      <c r="F54">
        <v>1</v>
      </c>
      <c r="G54" t="str">
        <v>FY2026 Q1</v>
      </c>
      <c r="H54" vm="15">
        <v>45866</v>
      </c>
      <c r="I54" vm="16">
        <v>45872</v>
      </c>
      <c r="J54" vm="6">
        <v>45870</v>
      </c>
      <c r="K54" vm="22">
        <v>45900</v>
      </c>
    </row>
    <row r="55" spans="2:11">
      <c r="B55" t="str">
        <v>T007</v>
      </c>
      <c r="C55" vm="7">
        <v>45930</v>
      </c>
      <c r="D55">
        <v>15350</v>
      </c>
      <c r="E55">
        <v>2026</v>
      </c>
      <c r="F55">
        <v>1</v>
      </c>
      <c r="G55" t="str">
        <v>FY2026 Q1</v>
      </c>
      <c r="H55" vm="17">
        <v>45929</v>
      </c>
      <c r="I55" vm="18">
        <v>45935</v>
      </c>
      <c r="J55" vm="23">
        <v>45901</v>
      </c>
      <c r="K55" vm="7">
        <v>45930</v>
      </c>
    </row>
    <row r="56" spans="2:11">
      <c r="B56" t="str">
        <v>T008</v>
      </c>
      <c r="C56" vm="8">
        <v>45931</v>
      </c>
      <c r="D56">
        <v>12700</v>
      </c>
      <c r="E56">
        <v>2026</v>
      </c>
      <c r="F56">
        <v>2</v>
      </c>
      <c r="G56" t="str">
        <v>FY2026 Q2</v>
      </c>
      <c r="H56" vm="17">
        <v>45929</v>
      </c>
      <c r="I56" vm="18">
        <v>45935</v>
      </c>
      <c r="J56" vm="8">
        <v>45931</v>
      </c>
      <c r="K56" vm="24">
        <v>45961</v>
      </c>
    </row>
    <row r="57" spans="2:11">
      <c r="B57" t="str">
        <v>T009</v>
      </c>
      <c r="C57" vm="9">
        <v>46022</v>
      </c>
      <c r="D57">
        <v>21000</v>
      </c>
      <c r="E57">
        <v>2026</v>
      </c>
      <c r="F57">
        <v>2</v>
      </c>
      <c r="G57" t="str">
        <v>FY2026 Q2</v>
      </c>
      <c r="H57" vm="19">
        <v>46020</v>
      </c>
      <c r="I57" vm="20">
        <v>46026</v>
      </c>
      <c r="J57" vm="25">
        <v>45992</v>
      </c>
      <c r="K57" vm="9">
        <v>46022</v>
      </c>
    </row>
    <row r="58" spans="2:11">
      <c r="B58" t="str">
        <v>T010</v>
      </c>
      <c r="C58" vm="10">
        <v>46023</v>
      </c>
      <c r="D58">
        <v>7800</v>
      </c>
      <c r="E58">
        <v>2026</v>
      </c>
      <c r="F58">
        <v>3</v>
      </c>
      <c r="G58" t="str">
        <v>FY2026 Q3</v>
      </c>
      <c r="H58" vm="19">
        <v>46020</v>
      </c>
      <c r="I58" vm="20">
        <v>46026</v>
      </c>
      <c r="J58" vm="10">
        <v>46023</v>
      </c>
      <c r="K58" vm="26">
        <v>46053</v>
      </c>
    </row>
    <row r="59" spans="2:11">
      <c r="B59" t="str">
        <v>T011</v>
      </c>
      <c r="C59" vm="27">
        <v>46112</v>
      </c>
      <c r="D59">
        <v>16500</v>
      </c>
      <c r="E59">
        <v>2026</v>
      </c>
      <c r="F59">
        <v>3</v>
      </c>
      <c r="G59" t="str">
        <v>FY2026 Q3</v>
      </c>
      <c r="H59" vm="28">
        <v>46111</v>
      </c>
      <c r="I59" vm="29">
        <v>46117</v>
      </c>
      <c r="J59" vm="30">
        <v>46082</v>
      </c>
      <c r="K59" vm="27">
        <v>46112</v>
      </c>
    </row>
    <row r="60" spans="2:11">
      <c r="B60" t="str">
        <v>T012</v>
      </c>
      <c r="C60" vm="31">
        <v>46113</v>
      </c>
      <c r="D60">
        <v>17250</v>
      </c>
      <c r="E60">
        <v>2026</v>
      </c>
      <c r="F60">
        <v>4</v>
      </c>
      <c r="G60" t="str">
        <v>FY2026 Q4</v>
      </c>
      <c r="H60" vm="28">
        <v>46111</v>
      </c>
      <c r="I60" vm="29">
        <v>46117</v>
      </c>
      <c r="J60" vm="31">
        <v>46113</v>
      </c>
      <c r="K60" vm="32">
        <v>46142</v>
      </c>
    </row>
    <row r="61" spans="2:11">
      <c r="B61" t="str">
        <v>T013</v>
      </c>
      <c r="C61" vm="33">
        <v>46171</v>
      </c>
      <c r="D61">
        <v>14300</v>
      </c>
      <c r="E61">
        <v>2026</v>
      </c>
      <c r="F61">
        <v>4</v>
      </c>
      <c r="G61" t="str">
        <v>FY2026 Q4</v>
      </c>
      <c r="H61" vm="34">
        <v>46167</v>
      </c>
      <c r="I61" vm="35">
        <v>46173</v>
      </c>
      <c r="J61" vm="36">
        <v>46143</v>
      </c>
      <c r="K61" vm="35">
        <v>46173</v>
      </c>
    </row>
    <row r="62" spans="2:11">
      <c r="B62" t="str">
        <v>T014</v>
      </c>
      <c r="C62" vm="37">
        <v>46174</v>
      </c>
      <c r="D62">
        <v>15100</v>
      </c>
      <c r="E62">
        <v>2026</v>
      </c>
      <c r="F62">
        <v>4</v>
      </c>
      <c r="G62" t="str">
        <v>FY2026 Q4</v>
      </c>
      <c r="H62" vm="37">
        <v>46174</v>
      </c>
      <c r="I62" vm="38">
        <v>46180</v>
      </c>
      <c r="J62" vm="37">
        <v>46174</v>
      </c>
      <c r="K62" vm="39">
        <v>46203</v>
      </c>
    </row>
    <row r="63" spans="2:11">
      <c r="B63" t="str">
        <v>T015</v>
      </c>
      <c r="C63" vm="39">
        <v>46203</v>
      </c>
      <c r="D63">
        <v>22500</v>
      </c>
      <c r="E63">
        <v>2026</v>
      </c>
      <c r="F63">
        <v>4</v>
      </c>
      <c r="G63" t="str">
        <v>FY2026 Q4</v>
      </c>
      <c r="H63" vm="40">
        <v>46202</v>
      </c>
      <c r="I63" vm="41">
        <v>46208</v>
      </c>
      <c r="J63" vm="37">
        <v>46174</v>
      </c>
      <c r="K63" vm="39">
        <v>46203</v>
      </c>
    </row>
    <row r="64" spans="2:11">
      <c r="B64" t="str">
        <v>T016</v>
      </c>
      <c r="C64" vm="42">
        <v>46204</v>
      </c>
      <c r="D64">
        <v>19400</v>
      </c>
      <c r="E64">
        <v>2027</v>
      </c>
      <c r="F64">
        <v>1</v>
      </c>
      <c r="G64" t="str">
        <v>FY2027 Q1</v>
      </c>
      <c r="H64" vm="40">
        <v>46202</v>
      </c>
      <c r="I64" vm="41">
        <v>46208</v>
      </c>
      <c r="J64" vm="42">
        <v>46204</v>
      </c>
      <c r="K64" vm="43">
        <v>46234</v>
      </c>
    </row>
    <row r="65" spans="2:11">
      <c r="B65" t="str">
        <v>T017</v>
      </c>
      <c r="C65" vm="44">
        <v>46209</v>
      </c>
      <c r="D65">
        <v>13200</v>
      </c>
      <c r="E65">
        <v>2027</v>
      </c>
      <c r="F65">
        <v>1</v>
      </c>
      <c r="G65" t="str">
        <v>FY2027 Q1</v>
      </c>
      <c r="H65" vm="44">
        <v>46209</v>
      </c>
      <c r="I65" vm="45">
        <v>46215</v>
      </c>
      <c r="J65" vm="42">
        <v>46204</v>
      </c>
      <c r="K65" vm="43">
        <v>46234</v>
      </c>
    </row>
    <row r="66" spans="2:11">
      <c r="B66" t="str">
        <v>T018</v>
      </c>
      <c r="C66" vm="43">
        <v>46234</v>
      </c>
      <c r="D66">
        <v>17500</v>
      </c>
      <c r="E66">
        <v>2027</v>
      </c>
      <c r="F66">
        <v>1</v>
      </c>
      <c r="G66" t="str">
        <v>FY2027 Q1</v>
      </c>
      <c r="H66" vm="46">
        <v>46230</v>
      </c>
      <c r="I66" vm="47">
        <v>46236</v>
      </c>
      <c r="J66" vm="42">
        <v>46204</v>
      </c>
      <c r="K66" vm="43">
        <v>46234</v>
      </c>
    </row>
    <row r="67" spans="2:11">
      <c r="B67" t="str">
        <v>T019</v>
      </c>
      <c r="C67" vm="48">
        <v>46235</v>
      </c>
      <c r="D67">
        <v>9200</v>
      </c>
      <c r="E67">
        <v>2027</v>
      </c>
      <c r="F67">
        <v>1</v>
      </c>
      <c r="G67" t="str">
        <v>FY2027 Q1</v>
      </c>
      <c r="H67" vm="46">
        <v>46230</v>
      </c>
      <c r="I67" vm="47">
        <v>46236</v>
      </c>
      <c r="J67" vm="48">
        <v>46235</v>
      </c>
      <c r="K67" vm="49">
        <v>46265</v>
      </c>
    </row>
    <row r="68" spans="2:11">
      <c r="B68" t="str">
        <v>T020</v>
      </c>
      <c r="C68" vm="50">
        <v>46237</v>
      </c>
      <c r="D68">
        <v>16800</v>
      </c>
      <c r="E68">
        <v>2027</v>
      </c>
      <c r="F68">
        <v>1</v>
      </c>
      <c r="G68" t="str">
        <v>FY2027 Q1</v>
      </c>
      <c r="H68" vm="50">
        <v>46237</v>
      </c>
      <c r="I68" vm="51">
        <v>46243</v>
      </c>
      <c r="J68" vm="48">
        <v>46235</v>
      </c>
      <c r="K68" vm="49">
        <v>46265</v>
      </c>
    </row>
    <row r="71" spans="2:11">
      <c r="B71" t="str" cm="1">
        <f t="array" ref="B71:E77">_xlfn._xlws.PY(5,0)</f>
        <v>fiscal_year</v>
      </c>
      <c r="C71" t="str">
        <v>fiscal_quarter</v>
      </c>
      <c r="D71" t="str">
        <v>fiscal_period</v>
      </c>
      <c r="E71" t="str">
        <v>amount</v>
      </c>
    </row>
    <row r="72" spans="2:11">
      <c r="B72">
        <v>2025</v>
      </c>
      <c r="C72">
        <v>4</v>
      </c>
      <c r="D72" t="str">
        <v>FY2025 Q4</v>
      </c>
      <c r="E72">
        <v>27650</v>
      </c>
    </row>
    <row r="73" spans="2:11">
      <c r="B73">
        <v>2026</v>
      </c>
      <c r="C73">
        <v>1</v>
      </c>
      <c r="D73" t="str">
        <v>FY2026 Q1</v>
      </c>
      <c r="E73">
        <v>63800</v>
      </c>
    </row>
    <row r="74" spans="2:11">
      <c r="B74">
        <v>2026</v>
      </c>
      <c r="C74">
        <v>2</v>
      </c>
      <c r="D74" t="str">
        <v>FY2026 Q2</v>
      </c>
      <c r="E74">
        <v>33700</v>
      </c>
    </row>
    <row r="75" spans="2:11">
      <c r="B75">
        <v>2026</v>
      </c>
      <c r="C75">
        <v>3</v>
      </c>
      <c r="D75" t="str">
        <v>FY2026 Q3</v>
      </c>
      <c r="E75">
        <v>24300</v>
      </c>
    </row>
    <row r="76" spans="2:11">
      <c r="B76">
        <v>2026</v>
      </c>
      <c r="C76">
        <v>4</v>
      </c>
      <c r="D76" t="str">
        <v>FY2026 Q4</v>
      </c>
      <c r="E76">
        <v>69150</v>
      </c>
    </row>
    <row r="77" spans="2:11">
      <c r="B77">
        <v>2027</v>
      </c>
      <c r="C77">
        <v>1</v>
      </c>
      <c r="D77" t="str">
        <v>FY2027 Q1</v>
      </c>
      <c r="E77">
        <v>76100</v>
      </c>
    </row>
    <row r="80" spans="2:11">
      <c r="B80" t="str" cm="1">
        <f t="array" ref="B80:F84">_xlfn._xlws.PY(6,0)</f>
        <v/>
      </c>
      <c r="C80" t="str">
        <v>date</v>
      </c>
      <c r="D80" t="str">
        <v>fiscal_period</v>
      </c>
      <c r="E80" t="str">
        <v>expected</v>
      </c>
      <c r="F80" t="str">
        <v>matches</v>
      </c>
    </row>
    <row r="81" spans="2:6">
      <c r="B81">
        <v>1</v>
      </c>
      <c r="C81" vm="2">
        <v>45838</v>
      </c>
      <c r="D81" t="str">
        <v>FY2025 Q4</v>
      </c>
      <c r="E81" t="str">
        <v>FY2025 Q4</v>
      </c>
      <c r="F81" t="b">
        <v>1</v>
      </c>
    </row>
    <row r="82" spans="2:6">
      <c r="B82">
        <v>2</v>
      </c>
      <c r="C82" vm="3">
        <v>45839</v>
      </c>
      <c r="D82" t="str">
        <v>FY2026 Q1</v>
      </c>
      <c r="E82" t="str">
        <v>FY2026 Q1</v>
      </c>
      <c r="F82" t="b">
        <v>1</v>
      </c>
    </row>
    <row r="83" spans="2:6">
      <c r="B83">
        <v>14</v>
      </c>
      <c r="C83" vm="39">
        <v>46203</v>
      </c>
      <c r="D83" t="str">
        <v>FY2026 Q4</v>
      </c>
      <c r="E83" t="str">
        <v>FY2026 Q4</v>
      </c>
      <c r="F83" t="b">
        <v>1</v>
      </c>
    </row>
    <row r="84" spans="2:6">
      <c r="B84">
        <v>15</v>
      </c>
      <c r="C84" vm="42">
        <v>46204</v>
      </c>
      <c r="D84" t="str">
        <v>FY2027 Q1</v>
      </c>
      <c r="E84" t="str">
        <v>FY2027 Q1</v>
      </c>
      <c r="F84" t="b">
        <v>1</v>
      </c>
    </row>
    <row r="87" spans="2:6">
      <c r="B87" t="str" cm="1">
        <f t="array" ref="B87:C92">_xlfn._xlws.PY(7,0)</f>
        <v>check</v>
      </c>
      <c r="C87" t="str">
        <v>passed</v>
      </c>
    </row>
    <row r="88" spans="2:6">
      <c r="B88" t="str">
        <v>fiscal quarters are between 1 and 4</v>
      </c>
      <c r="C88" t="b">
        <v>1</v>
      </c>
    </row>
    <row r="89" spans="2:6">
      <c r="B89" t="str">
        <v>all business weeks start Monday</v>
      </c>
      <c r="C89" t="b">
        <v>1</v>
      </c>
    </row>
    <row r="90" spans="2:6">
      <c r="B90" t="str">
        <v>all month starts are day 1</v>
      </c>
      <c r="C90" t="b">
        <v>1</v>
      </c>
    </row>
    <row r="91" spans="2:6">
      <c r="B91" t="str">
        <v>all month ends are month-end</v>
      </c>
      <c r="C91" t="b">
        <v>1</v>
      </c>
    </row>
    <row r="92" spans="2:6">
      <c r="B92" t="str">
        <v>all fiscal boundary checks passed</v>
      </c>
      <c r="C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Mount</cp:lastModifiedBy>
  <dcterms:modified xsi:type="dcterms:W3CDTF">2026-08-21T11:13:31Z</dcterms:modified>
</cp:coreProperties>
</file>
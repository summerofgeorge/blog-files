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8_{5AC3C4EC-9AFE-4830-B7AD-DB9EE04AFAA2}" xr6:coauthVersionLast="47" xr6:coauthVersionMax="47" xr10:uidLastSave="{00000000-0000-0000-0000-000000000000}"/>
  <bookViews>
    <workbookView xWindow="-93" yWindow="-93" windowWidth="16826" windowHeight="11280" xr2:uid="{C7F3294E-B70E-4243-B925-859378A91023}"/>
  </bookViews>
  <sheets>
    <sheet name="raw_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5" i="1" l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85" i="1"/>
  <c r="J85" i="1" s="1"/>
  <c r="H84" i="1"/>
  <c r="J84" i="1" s="1"/>
  <c r="H83" i="1"/>
  <c r="J83" i="1" s="1"/>
  <c r="H82" i="1"/>
  <c r="J82" i="1" s="1"/>
  <c r="H81" i="1"/>
  <c r="J81" i="1" s="1"/>
  <c r="H80" i="1"/>
  <c r="J80" i="1" s="1"/>
  <c r="H79" i="1"/>
  <c r="J79" i="1" s="1"/>
  <c r="H78" i="1"/>
  <c r="J78" i="1" s="1"/>
  <c r="H77" i="1"/>
  <c r="J77" i="1" s="1"/>
  <c r="H76" i="1"/>
  <c r="J76" i="1" s="1"/>
  <c r="H75" i="1"/>
  <c r="J75" i="1" s="1"/>
  <c r="H74" i="1"/>
  <c r="J74" i="1" s="1"/>
  <c r="H73" i="1"/>
  <c r="J73" i="1" s="1"/>
  <c r="H72" i="1"/>
  <c r="J72" i="1" s="1"/>
  <c r="H71" i="1"/>
  <c r="J71" i="1" s="1"/>
  <c r="H70" i="1"/>
  <c r="J70" i="1" s="1"/>
  <c r="H69" i="1"/>
  <c r="J69" i="1" s="1"/>
  <c r="H68" i="1"/>
  <c r="J68" i="1" s="1"/>
  <c r="H67" i="1"/>
  <c r="J67" i="1" s="1"/>
  <c r="H66" i="1"/>
  <c r="J66" i="1" s="1"/>
  <c r="H65" i="1"/>
  <c r="J65" i="1" s="1"/>
  <c r="H64" i="1"/>
  <c r="J64" i="1" s="1"/>
  <c r="H63" i="1"/>
  <c r="J63" i="1" s="1"/>
  <c r="H62" i="1"/>
  <c r="J62" i="1" s="1"/>
  <c r="H61" i="1"/>
  <c r="J61" i="1" s="1"/>
  <c r="H60" i="1"/>
  <c r="J60" i="1" s="1"/>
  <c r="H59" i="1"/>
  <c r="J59" i="1" s="1"/>
  <c r="H58" i="1"/>
  <c r="J58" i="1" s="1"/>
  <c r="H57" i="1"/>
  <c r="J57" i="1" s="1"/>
  <c r="H56" i="1"/>
  <c r="J56" i="1" s="1"/>
  <c r="H55" i="1"/>
  <c r="J55" i="1" s="1"/>
  <c r="H54" i="1"/>
  <c r="J54" i="1" s="1"/>
  <c r="H53" i="1"/>
  <c r="J53" i="1" s="1"/>
  <c r="H52" i="1"/>
  <c r="J52" i="1" s="1"/>
  <c r="H51" i="1"/>
  <c r="J51" i="1" s="1"/>
  <c r="H50" i="1"/>
  <c r="J50" i="1" s="1"/>
  <c r="H49" i="1"/>
  <c r="J49" i="1" s="1"/>
  <c r="H48" i="1"/>
  <c r="J48" i="1" s="1"/>
  <c r="H47" i="1"/>
  <c r="J47" i="1" s="1"/>
  <c r="H46" i="1"/>
  <c r="J46" i="1" s="1"/>
  <c r="H45" i="1"/>
  <c r="J45" i="1" s="1"/>
  <c r="H44" i="1"/>
  <c r="J44" i="1" s="1"/>
  <c r="H43" i="1"/>
  <c r="J43" i="1" s="1"/>
  <c r="H42" i="1"/>
  <c r="J42" i="1" s="1"/>
  <c r="H41" i="1"/>
  <c r="J41" i="1" s="1"/>
  <c r="H40" i="1"/>
  <c r="J40" i="1" s="1"/>
  <c r="H39" i="1"/>
  <c r="J39" i="1" s="1"/>
  <c r="H38" i="1"/>
  <c r="J38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6" i="1"/>
  <c r="J26" i="1" s="1"/>
  <c r="H25" i="1"/>
  <c r="J25" i="1" s="1"/>
  <c r="H24" i="1"/>
  <c r="J24" i="1" s="1"/>
  <c r="H23" i="1"/>
  <c r="J23" i="1" s="1"/>
  <c r="H22" i="1"/>
  <c r="J22" i="1" s="1"/>
  <c r="H21" i="1"/>
  <c r="J21" i="1" s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J9" i="1" s="1"/>
  <c r="H8" i="1"/>
  <c r="J8" i="1" s="1"/>
  <c r="H7" i="1"/>
  <c r="J7" i="1" s="1"/>
  <c r="H6" i="1"/>
  <c r="J6" i="1" s="1"/>
  <c r="H5" i="1"/>
  <c r="J5" i="1" s="1"/>
  <c r="H4" i="1"/>
  <c r="J4" i="1" s="1"/>
  <c r="H3" i="1"/>
  <c r="J3" i="1" s="1"/>
  <c r="H2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J2" i="1" l="1"/>
</calcChain>
</file>

<file path=xl/sharedStrings.xml><?xml version="1.0" encoding="utf-8"?>
<sst xmlns="http://schemas.openxmlformats.org/spreadsheetml/2006/main" count="178" uniqueCount="21">
  <si>
    <t>Date</t>
  </si>
  <si>
    <t>Region</t>
  </si>
  <si>
    <t>Product</t>
  </si>
  <si>
    <t>Units</t>
  </si>
  <si>
    <t>Unit_Price</t>
  </si>
  <si>
    <t>Unit_Cost</t>
  </si>
  <si>
    <t>Month</t>
  </si>
  <si>
    <t>Revenue</t>
  </si>
  <si>
    <t>Cost</t>
  </si>
  <si>
    <t>Margin</t>
  </si>
  <si>
    <t>East</t>
  </si>
  <si>
    <t>A</t>
  </si>
  <si>
    <t>B</t>
  </si>
  <si>
    <t>West</t>
  </si>
  <si>
    <t>C</t>
  </si>
  <si>
    <t>North</t>
  </si>
  <si>
    <t>D</t>
  </si>
  <si>
    <t>South</t>
  </si>
  <si>
    <t>E</t>
  </si>
  <si>
    <t>Central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</si>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</sst>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6" formatCode="&quot;$&quot;#,##0.00"/>
  </numFmts>
  <fonts count="1" x14ac:knownFonts="1"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8"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4" formatCode="mmm\ yyyy"/>
    </dxf>
    <dxf>
      <numFmt numFmtId="166" formatCode="&quot;$&quot;#,##0.00"/>
    </dxf>
    <dxf>
      <numFmt numFmtId="166" formatCode="&quot;$&quot;#,##0.00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CC189-3898-4217-9CD0-8803AD1AE46F}" name="raw_sales" displayName="raw_sales" ref="A1:J85" totalsRowShown="0">
  <autoFilter ref="A1:J85" xr:uid="{FF9CC189-3898-4217-9CD0-8803AD1AE46F}"/>
  <tableColumns count="10">
    <tableColumn id="1" xr3:uid="{FF6D664D-BAFA-4102-9153-23DB18BE34CE}" name="Date" dataDxfId="7"/>
    <tableColumn id="2" xr3:uid="{BCCB9C2F-9DBF-4018-BD24-A0581552776F}" name="Region"/>
    <tableColumn id="3" xr3:uid="{919A7D06-997F-40CB-BB0B-369B5FF4736B}" name="Product"/>
    <tableColumn id="4" xr3:uid="{30D25426-9EA5-42A5-9582-DAEA05077C55}" name="Units" dataDxfId="6"/>
    <tableColumn id="5" xr3:uid="{7F1EB62D-9BEC-4E52-A14D-ABCB2CAD5D1D}" name="Unit_Price" dataDxfId="5"/>
    <tableColumn id="6" xr3:uid="{D6EA8270-07C7-4557-BCDF-65735FFE3115}" name="Unit_Cost" dataDxfId="4"/>
    <tableColumn id="7" xr3:uid="{B6818D04-6B42-48AC-94F2-11259B3AB461}" name="Month" dataDxfId="3">
      <calculatedColumnFormula>DATE(YEAR(A2),MONTH(A2),1)</calculatedColumnFormula>
    </tableColumn>
    <tableColumn id="8" xr3:uid="{505A336B-6FD3-4DB9-8027-5C50AFA7E7FF}" name="Revenue" dataDxfId="2">
      <calculatedColumnFormula>D2*E2</calculatedColumnFormula>
    </tableColumn>
    <tableColumn id="9" xr3:uid="{8038CAB5-3A7E-411D-AC8E-CD5AE19EA325}" name="Cost" dataDxfId="1">
      <calculatedColumnFormula>D2*F2</calculatedColumnFormula>
    </tableColumn>
    <tableColumn id="10" xr3:uid="{C1A8D17F-BF70-4243-8200-FB3DF9125F07}" name="Margin" dataDxfId="0">
      <calculatedColumnFormula>H2-I2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BA35-3365-4624-A421-10EC5FC8EBD3}">
  <dimension ref="A1:J85"/>
  <sheetViews>
    <sheetView tabSelected="1" workbookViewId="0">
      <selection activeCell="C6" sqref="C6"/>
    </sheetView>
  </sheetViews>
  <sheetFormatPr defaultRowHeight="24" x14ac:dyDescent="0.85"/>
  <cols>
    <col min="5" max="5" width="10.0703125" customWidth="1"/>
    <col min="6" max="6" width="9.6640625" customWidth="1"/>
    <col min="8" max="10" width="9" bestFit="1" customWidth="1"/>
  </cols>
  <sheetData>
    <row r="1" spans="1:1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85">
      <c r="A2" s="1">
        <v>46023</v>
      </c>
      <c r="B2" t="s">
        <v>10</v>
      </c>
      <c r="C2" t="s">
        <v>11</v>
      </c>
      <c r="D2" s="2">
        <v>142</v>
      </c>
      <c r="E2" s="4">
        <v>12.5</v>
      </c>
      <c r="F2" s="4">
        <v>7.4</v>
      </c>
      <c r="G2" s="3">
        <f t="shared" ref="G2:G65" si="0">DATE(YEAR(A2),MONTH(A2),1)</f>
        <v>46023</v>
      </c>
      <c r="H2" s="4">
        <f t="shared" ref="H2:H65" si="1">D2*E2</f>
        <v>1775</v>
      </c>
      <c r="I2" s="4">
        <f t="shared" ref="I2:I65" si="2">D2*F2</f>
        <v>1050.8</v>
      </c>
      <c r="J2" s="4">
        <f t="shared" ref="J2:J65" si="3">H2-I2</f>
        <v>724.2</v>
      </c>
    </row>
    <row r="3" spans="1:10" x14ac:dyDescent="0.85">
      <c r="A3" s="1">
        <v>46023</v>
      </c>
      <c r="B3" t="s">
        <v>10</v>
      </c>
      <c r="C3" t="s">
        <v>12</v>
      </c>
      <c r="D3" s="2">
        <v>87</v>
      </c>
      <c r="E3" s="4">
        <v>22.1</v>
      </c>
      <c r="F3" s="4">
        <v>14.3</v>
      </c>
      <c r="G3" s="3">
        <f t="shared" si="0"/>
        <v>46023</v>
      </c>
      <c r="H3" s="4">
        <f t="shared" si="1"/>
        <v>1922.7</v>
      </c>
      <c r="I3" s="4">
        <f t="shared" si="2"/>
        <v>1244.1000000000001</v>
      </c>
      <c r="J3" s="4">
        <f t="shared" si="3"/>
        <v>678.59999999999991</v>
      </c>
    </row>
    <row r="4" spans="1:10" x14ac:dyDescent="0.85">
      <c r="A4" s="1">
        <v>46023</v>
      </c>
      <c r="B4" t="s">
        <v>13</v>
      </c>
      <c r="C4" t="s">
        <v>11</v>
      </c>
      <c r="D4" s="2">
        <v>115</v>
      </c>
      <c r="E4" s="4">
        <v>11.8</v>
      </c>
      <c r="F4" s="4">
        <v>7.1</v>
      </c>
      <c r="G4" s="3">
        <f t="shared" si="0"/>
        <v>46023</v>
      </c>
      <c r="H4" s="4">
        <f t="shared" si="1"/>
        <v>1357</v>
      </c>
      <c r="I4" s="4">
        <f t="shared" si="2"/>
        <v>816.5</v>
      </c>
      <c r="J4" s="4">
        <f t="shared" si="3"/>
        <v>540.5</v>
      </c>
    </row>
    <row r="5" spans="1:10" x14ac:dyDescent="0.85">
      <c r="A5" s="1">
        <v>46023</v>
      </c>
      <c r="B5" t="s">
        <v>13</v>
      </c>
      <c r="C5" t="s">
        <v>14</v>
      </c>
      <c r="D5" s="2">
        <v>94</v>
      </c>
      <c r="E5" s="4">
        <v>18.399999999999999</v>
      </c>
      <c r="F5" s="4">
        <v>11.2</v>
      </c>
      <c r="G5" s="3">
        <f t="shared" si="0"/>
        <v>46023</v>
      </c>
      <c r="H5" s="4">
        <f t="shared" si="1"/>
        <v>1729.6</v>
      </c>
      <c r="I5" s="4">
        <f t="shared" si="2"/>
        <v>1052.8</v>
      </c>
      <c r="J5" s="4">
        <f t="shared" si="3"/>
        <v>676.8</v>
      </c>
    </row>
    <row r="6" spans="1:10" x14ac:dyDescent="0.85">
      <c r="A6" s="1">
        <v>46023</v>
      </c>
      <c r="B6" t="s">
        <v>15</v>
      </c>
      <c r="C6" t="s">
        <v>16</v>
      </c>
      <c r="D6" s="2">
        <v>73</v>
      </c>
      <c r="E6" s="4">
        <v>26.5</v>
      </c>
      <c r="F6" s="4">
        <v>18.100000000000001</v>
      </c>
      <c r="G6" s="3">
        <f t="shared" si="0"/>
        <v>46023</v>
      </c>
      <c r="H6" s="4">
        <f t="shared" si="1"/>
        <v>1934.5</v>
      </c>
      <c r="I6" s="4">
        <f t="shared" si="2"/>
        <v>1321.3000000000002</v>
      </c>
      <c r="J6" s="4">
        <f t="shared" si="3"/>
        <v>613.19999999999982</v>
      </c>
    </row>
    <row r="7" spans="1:10" x14ac:dyDescent="0.85">
      <c r="A7" s="1">
        <v>46023</v>
      </c>
      <c r="B7" t="s">
        <v>17</v>
      </c>
      <c r="C7" t="s">
        <v>18</v>
      </c>
      <c r="D7" s="2">
        <v>158</v>
      </c>
      <c r="E7" s="4">
        <v>9.75</v>
      </c>
      <c r="F7" s="4">
        <v>5.8</v>
      </c>
      <c r="G7" s="3">
        <f t="shared" si="0"/>
        <v>46023</v>
      </c>
      <c r="H7" s="4">
        <f t="shared" si="1"/>
        <v>1540.5</v>
      </c>
      <c r="I7" s="4">
        <f t="shared" si="2"/>
        <v>916.4</v>
      </c>
      <c r="J7" s="4">
        <f t="shared" si="3"/>
        <v>624.1</v>
      </c>
    </row>
    <row r="8" spans="1:10" x14ac:dyDescent="0.85">
      <c r="A8" s="1">
        <v>46023</v>
      </c>
      <c r="B8" t="s">
        <v>19</v>
      </c>
      <c r="C8" t="s">
        <v>20</v>
      </c>
      <c r="D8" s="2">
        <v>66</v>
      </c>
      <c r="E8" s="4">
        <v>31.2</v>
      </c>
      <c r="F8" s="4">
        <v>21.4</v>
      </c>
      <c r="G8" s="3">
        <f t="shared" si="0"/>
        <v>46023</v>
      </c>
      <c r="H8" s="4">
        <f t="shared" si="1"/>
        <v>2059.1999999999998</v>
      </c>
      <c r="I8" s="4">
        <f t="shared" si="2"/>
        <v>1412.3999999999999</v>
      </c>
      <c r="J8" s="4">
        <f t="shared" si="3"/>
        <v>646.79999999999995</v>
      </c>
    </row>
    <row r="9" spans="1:10" x14ac:dyDescent="0.85">
      <c r="A9" s="1">
        <v>46054</v>
      </c>
      <c r="B9" t="s">
        <v>10</v>
      </c>
      <c r="C9" t="s">
        <v>11</v>
      </c>
      <c r="D9" s="2">
        <v>153</v>
      </c>
      <c r="E9" s="4">
        <v>12.5</v>
      </c>
      <c r="F9" s="4">
        <v>7.4</v>
      </c>
      <c r="G9" s="3">
        <f t="shared" si="0"/>
        <v>46054</v>
      </c>
      <c r="H9" s="4">
        <f t="shared" si="1"/>
        <v>1912.5</v>
      </c>
      <c r="I9" s="4">
        <f t="shared" si="2"/>
        <v>1132.2</v>
      </c>
      <c r="J9" s="4">
        <f t="shared" si="3"/>
        <v>780.3</v>
      </c>
    </row>
    <row r="10" spans="1:10" x14ac:dyDescent="0.85">
      <c r="A10" s="1">
        <v>46054</v>
      </c>
      <c r="B10" t="s">
        <v>10</v>
      </c>
      <c r="C10" t="s">
        <v>12</v>
      </c>
      <c r="D10" s="2">
        <v>91</v>
      </c>
      <c r="E10" s="4">
        <v>22.1</v>
      </c>
      <c r="F10" s="4">
        <v>14.3</v>
      </c>
      <c r="G10" s="3">
        <f t="shared" si="0"/>
        <v>46054</v>
      </c>
      <c r="H10" s="4">
        <f t="shared" si="1"/>
        <v>2011.1000000000001</v>
      </c>
      <c r="I10" s="4">
        <f t="shared" si="2"/>
        <v>1301.3</v>
      </c>
      <c r="J10" s="4">
        <f t="shared" si="3"/>
        <v>709.80000000000018</v>
      </c>
    </row>
    <row r="11" spans="1:10" x14ac:dyDescent="0.85">
      <c r="A11" s="1">
        <v>46054</v>
      </c>
      <c r="B11" t="s">
        <v>13</v>
      </c>
      <c r="C11" t="s">
        <v>11</v>
      </c>
      <c r="D11" s="2">
        <v>108</v>
      </c>
      <c r="E11" s="4">
        <v>11.8</v>
      </c>
      <c r="F11" s="4">
        <v>7.1</v>
      </c>
      <c r="G11" s="3">
        <f t="shared" si="0"/>
        <v>46054</v>
      </c>
      <c r="H11" s="4">
        <f t="shared" si="1"/>
        <v>1274.4000000000001</v>
      </c>
      <c r="I11" s="4">
        <f t="shared" si="2"/>
        <v>766.8</v>
      </c>
      <c r="J11" s="4">
        <f t="shared" si="3"/>
        <v>507.60000000000014</v>
      </c>
    </row>
    <row r="12" spans="1:10" x14ac:dyDescent="0.85">
      <c r="A12" s="1">
        <v>46054</v>
      </c>
      <c r="B12" t="s">
        <v>13</v>
      </c>
      <c r="C12" t="s">
        <v>14</v>
      </c>
      <c r="D12" s="2">
        <v>101</v>
      </c>
      <c r="E12" s="4">
        <v>18.399999999999999</v>
      </c>
      <c r="F12" s="4">
        <v>11.2</v>
      </c>
      <c r="G12" s="3">
        <f t="shared" si="0"/>
        <v>46054</v>
      </c>
      <c r="H12" s="4">
        <f t="shared" si="1"/>
        <v>1858.3999999999999</v>
      </c>
      <c r="I12" s="4">
        <f t="shared" si="2"/>
        <v>1131.1999999999998</v>
      </c>
      <c r="J12" s="4">
        <f t="shared" si="3"/>
        <v>727.2</v>
      </c>
    </row>
    <row r="13" spans="1:10" x14ac:dyDescent="0.85">
      <c r="A13" s="1">
        <v>46054</v>
      </c>
      <c r="B13" t="s">
        <v>15</v>
      </c>
      <c r="C13" t="s">
        <v>16</v>
      </c>
      <c r="D13" s="2">
        <v>79</v>
      </c>
      <c r="E13" s="4">
        <v>26.5</v>
      </c>
      <c r="F13" s="4">
        <v>18.100000000000001</v>
      </c>
      <c r="G13" s="3">
        <f t="shared" si="0"/>
        <v>46054</v>
      </c>
      <c r="H13" s="4">
        <f t="shared" si="1"/>
        <v>2093.5</v>
      </c>
      <c r="I13" s="4">
        <f t="shared" si="2"/>
        <v>1429.9</v>
      </c>
      <c r="J13" s="4">
        <f t="shared" si="3"/>
        <v>663.59999999999991</v>
      </c>
    </row>
    <row r="14" spans="1:10" x14ac:dyDescent="0.85">
      <c r="A14" s="1">
        <v>46054</v>
      </c>
      <c r="B14" t="s">
        <v>17</v>
      </c>
      <c r="C14" t="s">
        <v>18</v>
      </c>
      <c r="D14" s="2">
        <v>162</v>
      </c>
      <c r="E14" s="4">
        <v>9.75</v>
      </c>
      <c r="F14" s="4">
        <v>5.8</v>
      </c>
      <c r="G14" s="3">
        <f t="shared" si="0"/>
        <v>46054</v>
      </c>
      <c r="H14" s="4">
        <f t="shared" si="1"/>
        <v>1579.5</v>
      </c>
      <c r="I14" s="4">
        <f t="shared" si="2"/>
        <v>939.6</v>
      </c>
      <c r="J14" s="4">
        <f t="shared" si="3"/>
        <v>639.9</v>
      </c>
    </row>
    <row r="15" spans="1:10" x14ac:dyDescent="0.85">
      <c r="A15" s="1">
        <v>46054</v>
      </c>
      <c r="B15" t="s">
        <v>19</v>
      </c>
      <c r="C15" t="s">
        <v>20</v>
      </c>
      <c r="D15" s="2">
        <v>71</v>
      </c>
      <c r="E15" s="4">
        <v>31.2</v>
      </c>
      <c r="F15" s="4">
        <v>21.4</v>
      </c>
      <c r="G15" s="3">
        <f t="shared" si="0"/>
        <v>46054</v>
      </c>
      <c r="H15" s="4">
        <f t="shared" si="1"/>
        <v>2215.1999999999998</v>
      </c>
      <c r="I15" s="4">
        <f t="shared" si="2"/>
        <v>1519.3999999999999</v>
      </c>
      <c r="J15" s="4">
        <f t="shared" si="3"/>
        <v>695.8</v>
      </c>
    </row>
    <row r="16" spans="1:10" x14ac:dyDescent="0.85">
      <c r="A16" s="1">
        <v>46082</v>
      </c>
      <c r="B16" t="s">
        <v>10</v>
      </c>
      <c r="C16" t="s">
        <v>11</v>
      </c>
      <c r="D16" s="2">
        <v>160</v>
      </c>
      <c r="E16" s="4">
        <v>13.1</v>
      </c>
      <c r="F16" s="4">
        <v>7.6</v>
      </c>
      <c r="G16" s="3">
        <f t="shared" si="0"/>
        <v>46082</v>
      </c>
      <c r="H16" s="4">
        <f t="shared" si="1"/>
        <v>2096</v>
      </c>
      <c r="I16" s="4">
        <f t="shared" si="2"/>
        <v>1216</v>
      </c>
      <c r="J16" s="4">
        <f t="shared" si="3"/>
        <v>880</v>
      </c>
    </row>
    <row r="17" spans="1:10" x14ac:dyDescent="0.85">
      <c r="A17" s="1">
        <v>46082</v>
      </c>
      <c r="B17" t="s">
        <v>10</v>
      </c>
      <c r="C17" t="s">
        <v>12</v>
      </c>
      <c r="D17" s="2">
        <v>94</v>
      </c>
      <c r="E17" s="4">
        <v>22.9</v>
      </c>
      <c r="F17" s="4">
        <v>14.5</v>
      </c>
      <c r="G17" s="3">
        <f t="shared" si="0"/>
        <v>46082</v>
      </c>
      <c r="H17" s="4">
        <f t="shared" si="1"/>
        <v>2152.6</v>
      </c>
      <c r="I17" s="4">
        <f t="shared" si="2"/>
        <v>1363</v>
      </c>
      <c r="J17" s="4">
        <f t="shared" si="3"/>
        <v>789.59999999999991</v>
      </c>
    </row>
    <row r="18" spans="1:10" x14ac:dyDescent="0.85">
      <c r="A18" s="1">
        <v>46082</v>
      </c>
      <c r="B18" t="s">
        <v>13</v>
      </c>
      <c r="C18" t="s">
        <v>11</v>
      </c>
      <c r="D18" s="2">
        <v>118</v>
      </c>
      <c r="E18" s="4">
        <v>12.2</v>
      </c>
      <c r="F18" s="4">
        <v>7.3</v>
      </c>
      <c r="G18" s="3">
        <f t="shared" si="0"/>
        <v>46082</v>
      </c>
      <c r="H18" s="4">
        <f t="shared" si="1"/>
        <v>1439.6</v>
      </c>
      <c r="I18" s="4">
        <f t="shared" si="2"/>
        <v>861.4</v>
      </c>
      <c r="J18" s="4">
        <f t="shared" si="3"/>
        <v>578.19999999999993</v>
      </c>
    </row>
    <row r="19" spans="1:10" x14ac:dyDescent="0.85">
      <c r="A19" s="1">
        <v>46082</v>
      </c>
      <c r="B19" t="s">
        <v>13</v>
      </c>
      <c r="C19" t="s">
        <v>14</v>
      </c>
      <c r="D19" s="2">
        <v>98</v>
      </c>
      <c r="E19" s="4">
        <v>19.100000000000001</v>
      </c>
      <c r="F19" s="4">
        <v>11.6</v>
      </c>
      <c r="G19" s="3">
        <f t="shared" si="0"/>
        <v>46082</v>
      </c>
      <c r="H19" s="4">
        <f t="shared" si="1"/>
        <v>1871.8000000000002</v>
      </c>
      <c r="I19" s="4">
        <f t="shared" si="2"/>
        <v>1136.8</v>
      </c>
      <c r="J19" s="4">
        <f t="shared" si="3"/>
        <v>735.00000000000023</v>
      </c>
    </row>
    <row r="20" spans="1:10" x14ac:dyDescent="0.85">
      <c r="A20" s="1">
        <v>46082</v>
      </c>
      <c r="B20" t="s">
        <v>15</v>
      </c>
      <c r="C20" t="s">
        <v>16</v>
      </c>
      <c r="D20" s="2">
        <v>84</v>
      </c>
      <c r="E20" s="4">
        <v>27.1</v>
      </c>
      <c r="F20" s="4">
        <v>18.399999999999999</v>
      </c>
      <c r="G20" s="3">
        <f t="shared" si="0"/>
        <v>46082</v>
      </c>
      <c r="H20" s="4">
        <f t="shared" si="1"/>
        <v>2276.4</v>
      </c>
      <c r="I20" s="4">
        <f t="shared" si="2"/>
        <v>1545.6</v>
      </c>
      <c r="J20" s="4">
        <f t="shared" si="3"/>
        <v>730.80000000000018</v>
      </c>
    </row>
    <row r="21" spans="1:10" x14ac:dyDescent="0.85">
      <c r="A21" s="1">
        <v>46082</v>
      </c>
      <c r="B21" t="s">
        <v>17</v>
      </c>
      <c r="C21" t="s">
        <v>18</v>
      </c>
      <c r="D21" s="2">
        <v>170</v>
      </c>
      <c r="E21" s="4">
        <v>10.199999999999999</v>
      </c>
      <c r="F21" s="4">
        <v>6.1</v>
      </c>
      <c r="G21" s="3">
        <f t="shared" si="0"/>
        <v>46082</v>
      </c>
      <c r="H21" s="4">
        <f t="shared" si="1"/>
        <v>1733.9999999999998</v>
      </c>
      <c r="I21" s="4">
        <f t="shared" si="2"/>
        <v>1037</v>
      </c>
      <c r="J21" s="4">
        <f t="shared" si="3"/>
        <v>696.99999999999977</v>
      </c>
    </row>
    <row r="22" spans="1:10" x14ac:dyDescent="0.85">
      <c r="A22" s="1">
        <v>46082</v>
      </c>
      <c r="B22" t="s">
        <v>19</v>
      </c>
      <c r="C22" t="s">
        <v>20</v>
      </c>
      <c r="D22" s="2">
        <v>75</v>
      </c>
      <c r="E22" s="4">
        <v>32</v>
      </c>
      <c r="F22" s="4">
        <v>21.9</v>
      </c>
      <c r="G22" s="3">
        <f t="shared" si="0"/>
        <v>46082</v>
      </c>
      <c r="H22" s="4">
        <f t="shared" si="1"/>
        <v>2400</v>
      </c>
      <c r="I22" s="4">
        <f t="shared" si="2"/>
        <v>1642.5</v>
      </c>
      <c r="J22" s="4">
        <f t="shared" si="3"/>
        <v>757.5</v>
      </c>
    </row>
    <row r="23" spans="1:10" x14ac:dyDescent="0.85">
      <c r="A23" s="1">
        <v>46113</v>
      </c>
      <c r="B23" t="s">
        <v>10</v>
      </c>
      <c r="C23" t="s">
        <v>11</v>
      </c>
      <c r="D23" s="2">
        <v>168</v>
      </c>
      <c r="E23" s="4">
        <v>13.1</v>
      </c>
      <c r="F23" s="4">
        <v>7.6</v>
      </c>
      <c r="G23" s="3">
        <f t="shared" si="0"/>
        <v>46113</v>
      </c>
      <c r="H23" s="4">
        <f t="shared" si="1"/>
        <v>2200.7999999999997</v>
      </c>
      <c r="I23" s="4">
        <f t="shared" si="2"/>
        <v>1276.8</v>
      </c>
      <c r="J23" s="4">
        <f t="shared" si="3"/>
        <v>923.99999999999977</v>
      </c>
    </row>
    <row r="24" spans="1:10" x14ac:dyDescent="0.85">
      <c r="A24" s="1">
        <v>46113</v>
      </c>
      <c r="B24" t="s">
        <v>10</v>
      </c>
      <c r="C24" t="s">
        <v>12</v>
      </c>
      <c r="D24" s="2">
        <v>99</v>
      </c>
      <c r="E24" s="4">
        <v>22.9</v>
      </c>
      <c r="F24" s="4">
        <v>14.5</v>
      </c>
      <c r="G24" s="3">
        <f t="shared" si="0"/>
        <v>46113</v>
      </c>
      <c r="H24" s="4">
        <f t="shared" si="1"/>
        <v>2267.1</v>
      </c>
      <c r="I24" s="4">
        <f t="shared" si="2"/>
        <v>1435.5</v>
      </c>
      <c r="J24" s="4">
        <f t="shared" si="3"/>
        <v>831.59999999999991</v>
      </c>
    </row>
    <row r="25" spans="1:10" x14ac:dyDescent="0.85">
      <c r="A25" s="1">
        <v>46113</v>
      </c>
      <c r="B25" t="s">
        <v>13</v>
      </c>
      <c r="C25" t="s">
        <v>11</v>
      </c>
      <c r="D25" s="2">
        <v>121</v>
      </c>
      <c r="E25" s="4">
        <v>12.2</v>
      </c>
      <c r="F25" s="4">
        <v>7.3</v>
      </c>
      <c r="G25" s="3">
        <f t="shared" si="0"/>
        <v>46113</v>
      </c>
      <c r="H25" s="4">
        <f t="shared" si="1"/>
        <v>1476.1999999999998</v>
      </c>
      <c r="I25" s="4">
        <f t="shared" si="2"/>
        <v>883.3</v>
      </c>
      <c r="J25" s="4">
        <f t="shared" si="3"/>
        <v>592.89999999999986</v>
      </c>
    </row>
    <row r="26" spans="1:10" x14ac:dyDescent="0.85">
      <c r="A26" s="1">
        <v>46113</v>
      </c>
      <c r="B26" t="s">
        <v>13</v>
      </c>
      <c r="C26" t="s">
        <v>14</v>
      </c>
      <c r="D26" s="2">
        <v>104</v>
      </c>
      <c r="E26" s="4">
        <v>19.100000000000001</v>
      </c>
      <c r="F26" s="4">
        <v>11.6</v>
      </c>
      <c r="G26" s="3">
        <f t="shared" si="0"/>
        <v>46113</v>
      </c>
      <c r="H26" s="4">
        <f t="shared" si="1"/>
        <v>1986.4</v>
      </c>
      <c r="I26" s="4">
        <f t="shared" si="2"/>
        <v>1206.3999999999999</v>
      </c>
      <c r="J26" s="4">
        <f t="shared" si="3"/>
        <v>780.00000000000023</v>
      </c>
    </row>
    <row r="27" spans="1:10" x14ac:dyDescent="0.85">
      <c r="A27" s="1">
        <v>46113</v>
      </c>
      <c r="B27" t="s">
        <v>15</v>
      </c>
      <c r="C27" t="s">
        <v>16</v>
      </c>
      <c r="D27" s="2">
        <v>88</v>
      </c>
      <c r="E27" s="4">
        <v>27.1</v>
      </c>
      <c r="F27" s="4">
        <v>18.399999999999999</v>
      </c>
      <c r="G27" s="3">
        <f t="shared" si="0"/>
        <v>46113</v>
      </c>
      <c r="H27" s="4">
        <f t="shared" si="1"/>
        <v>2384.8000000000002</v>
      </c>
      <c r="I27" s="4">
        <f t="shared" si="2"/>
        <v>1619.1999999999998</v>
      </c>
      <c r="J27" s="4">
        <f t="shared" si="3"/>
        <v>765.60000000000036</v>
      </c>
    </row>
    <row r="28" spans="1:10" x14ac:dyDescent="0.85">
      <c r="A28" s="1">
        <v>46113</v>
      </c>
      <c r="B28" t="s">
        <v>17</v>
      </c>
      <c r="C28" t="s">
        <v>18</v>
      </c>
      <c r="D28" s="2">
        <v>182</v>
      </c>
      <c r="E28" s="4">
        <v>10.199999999999999</v>
      </c>
      <c r="F28" s="4">
        <v>6.1</v>
      </c>
      <c r="G28" s="3">
        <f t="shared" si="0"/>
        <v>46113</v>
      </c>
      <c r="H28" s="4">
        <f t="shared" si="1"/>
        <v>1856.3999999999999</v>
      </c>
      <c r="I28" s="4">
        <f t="shared" si="2"/>
        <v>1110.2</v>
      </c>
      <c r="J28" s="4">
        <f t="shared" si="3"/>
        <v>746.19999999999982</v>
      </c>
    </row>
    <row r="29" spans="1:10" x14ac:dyDescent="0.85">
      <c r="A29" s="1">
        <v>46113</v>
      </c>
      <c r="B29" t="s">
        <v>19</v>
      </c>
      <c r="C29" t="s">
        <v>20</v>
      </c>
      <c r="D29" s="2">
        <v>81</v>
      </c>
      <c r="E29" s="4">
        <v>32</v>
      </c>
      <c r="F29" s="4">
        <v>21.9</v>
      </c>
      <c r="G29" s="3">
        <f t="shared" si="0"/>
        <v>46113</v>
      </c>
      <c r="H29" s="4">
        <f t="shared" si="1"/>
        <v>2592</v>
      </c>
      <c r="I29" s="4">
        <f t="shared" si="2"/>
        <v>1773.8999999999999</v>
      </c>
      <c r="J29" s="4">
        <f t="shared" si="3"/>
        <v>818.10000000000014</v>
      </c>
    </row>
    <row r="30" spans="1:10" x14ac:dyDescent="0.85">
      <c r="A30" s="1">
        <v>46143</v>
      </c>
      <c r="B30" t="s">
        <v>10</v>
      </c>
      <c r="C30" t="s">
        <v>11</v>
      </c>
      <c r="D30" s="2">
        <v>175</v>
      </c>
      <c r="E30" s="4">
        <v>13.4</v>
      </c>
      <c r="F30" s="4">
        <v>7.8</v>
      </c>
      <c r="G30" s="3">
        <f t="shared" si="0"/>
        <v>46143</v>
      </c>
      <c r="H30" s="4">
        <f t="shared" si="1"/>
        <v>2345</v>
      </c>
      <c r="I30" s="4">
        <f t="shared" si="2"/>
        <v>1365</v>
      </c>
      <c r="J30" s="4">
        <f t="shared" si="3"/>
        <v>980</v>
      </c>
    </row>
    <row r="31" spans="1:10" x14ac:dyDescent="0.85">
      <c r="A31" s="1">
        <v>46143</v>
      </c>
      <c r="B31" t="s">
        <v>10</v>
      </c>
      <c r="C31" t="s">
        <v>12</v>
      </c>
      <c r="D31" s="2">
        <v>102</v>
      </c>
      <c r="E31" s="4">
        <v>23.2</v>
      </c>
      <c r="F31" s="4">
        <v>14.8</v>
      </c>
      <c r="G31" s="3">
        <f t="shared" si="0"/>
        <v>46143</v>
      </c>
      <c r="H31" s="4">
        <f t="shared" si="1"/>
        <v>2366.4</v>
      </c>
      <c r="I31" s="4">
        <f t="shared" si="2"/>
        <v>1509.6000000000001</v>
      </c>
      <c r="J31" s="4">
        <f t="shared" si="3"/>
        <v>856.8</v>
      </c>
    </row>
    <row r="32" spans="1:10" x14ac:dyDescent="0.85">
      <c r="A32" s="1">
        <v>46143</v>
      </c>
      <c r="B32" t="s">
        <v>13</v>
      </c>
      <c r="C32" t="s">
        <v>11</v>
      </c>
      <c r="D32" s="2">
        <v>130</v>
      </c>
      <c r="E32" s="4">
        <v>12.5</v>
      </c>
      <c r="F32" s="4">
        <v>7.5</v>
      </c>
      <c r="G32" s="3">
        <f t="shared" si="0"/>
        <v>46143</v>
      </c>
      <c r="H32" s="4">
        <f t="shared" si="1"/>
        <v>1625</v>
      </c>
      <c r="I32" s="4">
        <f t="shared" si="2"/>
        <v>975</v>
      </c>
      <c r="J32" s="4">
        <f t="shared" si="3"/>
        <v>650</v>
      </c>
    </row>
    <row r="33" spans="1:10" x14ac:dyDescent="0.85">
      <c r="A33" s="1">
        <v>46143</v>
      </c>
      <c r="B33" t="s">
        <v>13</v>
      </c>
      <c r="C33" t="s">
        <v>14</v>
      </c>
      <c r="D33" s="2">
        <v>110</v>
      </c>
      <c r="E33" s="4">
        <v>19.399999999999999</v>
      </c>
      <c r="F33" s="4">
        <v>11.9</v>
      </c>
      <c r="G33" s="3">
        <f t="shared" si="0"/>
        <v>46143</v>
      </c>
      <c r="H33" s="4">
        <f t="shared" si="1"/>
        <v>2134</v>
      </c>
      <c r="I33" s="4">
        <f t="shared" si="2"/>
        <v>1309</v>
      </c>
      <c r="J33" s="4">
        <f t="shared" si="3"/>
        <v>825</v>
      </c>
    </row>
    <row r="34" spans="1:10" x14ac:dyDescent="0.85">
      <c r="A34" s="1">
        <v>46143</v>
      </c>
      <c r="B34" t="s">
        <v>15</v>
      </c>
      <c r="C34" t="s">
        <v>16</v>
      </c>
      <c r="D34" s="2">
        <v>91</v>
      </c>
      <c r="E34" s="4">
        <v>27.8</v>
      </c>
      <c r="F34" s="4">
        <v>18.899999999999999</v>
      </c>
      <c r="G34" s="3">
        <f t="shared" si="0"/>
        <v>46143</v>
      </c>
      <c r="H34" s="4">
        <f t="shared" si="1"/>
        <v>2529.8000000000002</v>
      </c>
      <c r="I34" s="4">
        <f t="shared" si="2"/>
        <v>1719.8999999999999</v>
      </c>
      <c r="J34" s="4">
        <f t="shared" si="3"/>
        <v>809.90000000000032</v>
      </c>
    </row>
    <row r="35" spans="1:10" x14ac:dyDescent="0.85">
      <c r="A35" s="1">
        <v>46143</v>
      </c>
      <c r="B35" t="s">
        <v>17</v>
      </c>
      <c r="C35" t="s">
        <v>18</v>
      </c>
      <c r="D35" s="2">
        <v>190</v>
      </c>
      <c r="E35" s="4">
        <v>10.6</v>
      </c>
      <c r="F35" s="4">
        <v>6.4</v>
      </c>
      <c r="G35" s="3">
        <f t="shared" si="0"/>
        <v>46143</v>
      </c>
      <c r="H35" s="4">
        <f t="shared" si="1"/>
        <v>2014</v>
      </c>
      <c r="I35" s="4">
        <f t="shared" si="2"/>
        <v>1216</v>
      </c>
      <c r="J35" s="4">
        <f t="shared" si="3"/>
        <v>798</v>
      </c>
    </row>
    <row r="36" spans="1:10" x14ac:dyDescent="0.85">
      <c r="A36" s="1">
        <v>46143</v>
      </c>
      <c r="B36" t="s">
        <v>19</v>
      </c>
      <c r="C36" t="s">
        <v>20</v>
      </c>
      <c r="D36" s="2">
        <v>85</v>
      </c>
      <c r="E36" s="4">
        <v>32.799999999999997</v>
      </c>
      <c r="F36" s="4">
        <v>22.4</v>
      </c>
      <c r="G36" s="3">
        <f t="shared" si="0"/>
        <v>46143</v>
      </c>
      <c r="H36" s="4">
        <f t="shared" si="1"/>
        <v>2787.9999999999995</v>
      </c>
      <c r="I36" s="4">
        <f t="shared" si="2"/>
        <v>1903.9999999999998</v>
      </c>
      <c r="J36" s="4">
        <f t="shared" si="3"/>
        <v>883.99999999999977</v>
      </c>
    </row>
    <row r="37" spans="1:10" x14ac:dyDescent="0.85">
      <c r="A37" s="1">
        <v>46174</v>
      </c>
      <c r="B37" t="s">
        <v>10</v>
      </c>
      <c r="C37" t="s">
        <v>11</v>
      </c>
      <c r="D37" s="2">
        <v>182</v>
      </c>
      <c r="E37" s="4">
        <v>13.4</v>
      </c>
      <c r="F37" s="4">
        <v>7.8</v>
      </c>
      <c r="G37" s="3">
        <f t="shared" si="0"/>
        <v>46174</v>
      </c>
      <c r="H37" s="4">
        <f t="shared" si="1"/>
        <v>2438.8000000000002</v>
      </c>
      <c r="I37" s="4">
        <f t="shared" si="2"/>
        <v>1419.6</v>
      </c>
      <c r="J37" s="4">
        <f t="shared" si="3"/>
        <v>1019.2000000000003</v>
      </c>
    </row>
    <row r="38" spans="1:10" x14ac:dyDescent="0.85">
      <c r="A38" s="1">
        <v>46174</v>
      </c>
      <c r="B38" t="s">
        <v>10</v>
      </c>
      <c r="C38" t="s">
        <v>12</v>
      </c>
      <c r="D38" s="2">
        <v>107</v>
      </c>
      <c r="E38" s="4">
        <v>23.2</v>
      </c>
      <c r="F38" s="4">
        <v>14.8</v>
      </c>
      <c r="G38" s="3">
        <f t="shared" si="0"/>
        <v>46174</v>
      </c>
      <c r="H38" s="4">
        <f t="shared" si="1"/>
        <v>2482.4</v>
      </c>
      <c r="I38" s="4">
        <f t="shared" si="2"/>
        <v>1583.6000000000001</v>
      </c>
      <c r="J38" s="4">
        <f t="shared" si="3"/>
        <v>898.8</v>
      </c>
    </row>
    <row r="39" spans="1:10" x14ac:dyDescent="0.85">
      <c r="A39" s="1">
        <v>46174</v>
      </c>
      <c r="B39" t="s">
        <v>13</v>
      </c>
      <c r="C39" t="s">
        <v>11</v>
      </c>
      <c r="D39" s="2">
        <v>135</v>
      </c>
      <c r="E39" s="4">
        <v>12.5</v>
      </c>
      <c r="F39" s="4">
        <v>7.5</v>
      </c>
      <c r="G39" s="3">
        <f t="shared" si="0"/>
        <v>46174</v>
      </c>
      <c r="H39" s="4">
        <f t="shared" si="1"/>
        <v>1687.5</v>
      </c>
      <c r="I39" s="4">
        <f t="shared" si="2"/>
        <v>1012.5</v>
      </c>
      <c r="J39" s="4">
        <f t="shared" si="3"/>
        <v>675</v>
      </c>
    </row>
    <row r="40" spans="1:10" x14ac:dyDescent="0.85">
      <c r="A40" s="1">
        <v>46174</v>
      </c>
      <c r="B40" t="s">
        <v>13</v>
      </c>
      <c r="C40" t="s">
        <v>14</v>
      </c>
      <c r="D40" s="2">
        <v>115</v>
      </c>
      <c r="E40" s="4">
        <v>19.399999999999999</v>
      </c>
      <c r="F40" s="4">
        <v>11.9</v>
      </c>
      <c r="G40" s="3">
        <f t="shared" si="0"/>
        <v>46174</v>
      </c>
      <c r="H40" s="4">
        <f t="shared" si="1"/>
        <v>2231</v>
      </c>
      <c r="I40" s="4">
        <f t="shared" si="2"/>
        <v>1368.5</v>
      </c>
      <c r="J40" s="4">
        <f t="shared" si="3"/>
        <v>862.5</v>
      </c>
    </row>
    <row r="41" spans="1:10" x14ac:dyDescent="0.85">
      <c r="A41" s="1">
        <v>46174</v>
      </c>
      <c r="B41" t="s">
        <v>15</v>
      </c>
      <c r="C41" t="s">
        <v>16</v>
      </c>
      <c r="D41" s="2">
        <v>97</v>
      </c>
      <c r="E41" s="4">
        <v>27.8</v>
      </c>
      <c r="F41" s="4">
        <v>18.899999999999999</v>
      </c>
      <c r="G41" s="3">
        <f t="shared" si="0"/>
        <v>46174</v>
      </c>
      <c r="H41" s="4">
        <f t="shared" si="1"/>
        <v>2696.6</v>
      </c>
      <c r="I41" s="4">
        <f t="shared" si="2"/>
        <v>1833.3</v>
      </c>
      <c r="J41" s="4">
        <f t="shared" si="3"/>
        <v>863.3</v>
      </c>
    </row>
    <row r="42" spans="1:10" x14ac:dyDescent="0.85">
      <c r="A42" s="1">
        <v>46174</v>
      </c>
      <c r="B42" t="s">
        <v>17</v>
      </c>
      <c r="C42" t="s">
        <v>18</v>
      </c>
      <c r="D42" s="2">
        <v>198</v>
      </c>
      <c r="E42" s="4">
        <v>10.6</v>
      </c>
      <c r="F42" s="4">
        <v>6.4</v>
      </c>
      <c r="G42" s="3">
        <f t="shared" si="0"/>
        <v>46174</v>
      </c>
      <c r="H42" s="4">
        <f t="shared" si="1"/>
        <v>2098.7999999999997</v>
      </c>
      <c r="I42" s="4">
        <f t="shared" si="2"/>
        <v>1267.2</v>
      </c>
      <c r="J42" s="4">
        <f t="shared" si="3"/>
        <v>831.59999999999968</v>
      </c>
    </row>
    <row r="43" spans="1:10" x14ac:dyDescent="0.85">
      <c r="A43" s="1">
        <v>46174</v>
      </c>
      <c r="B43" t="s">
        <v>19</v>
      </c>
      <c r="C43" t="s">
        <v>20</v>
      </c>
      <c r="D43" s="2">
        <v>89</v>
      </c>
      <c r="E43" s="4">
        <v>32.799999999999997</v>
      </c>
      <c r="F43" s="4">
        <v>22.4</v>
      </c>
      <c r="G43" s="3">
        <f t="shared" si="0"/>
        <v>46174</v>
      </c>
      <c r="H43" s="4">
        <f t="shared" si="1"/>
        <v>2919.2</v>
      </c>
      <c r="I43" s="4">
        <f t="shared" si="2"/>
        <v>1993.6</v>
      </c>
      <c r="J43" s="4">
        <f t="shared" si="3"/>
        <v>925.59999999999991</v>
      </c>
    </row>
    <row r="44" spans="1:10" x14ac:dyDescent="0.85">
      <c r="A44" s="1">
        <v>46204</v>
      </c>
      <c r="B44" t="s">
        <v>10</v>
      </c>
      <c r="C44" t="s">
        <v>11</v>
      </c>
      <c r="D44" s="2">
        <v>188</v>
      </c>
      <c r="E44" s="4">
        <v>13.9</v>
      </c>
      <c r="F44" s="4">
        <v>8.1</v>
      </c>
      <c r="G44" s="3">
        <f t="shared" si="0"/>
        <v>46204</v>
      </c>
      <c r="H44" s="4">
        <f t="shared" si="1"/>
        <v>2613.2000000000003</v>
      </c>
      <c r="I44" s="4">
        <f t="shared" si="2"/>
        <v>1522.8</v>
      </c>
      <c r="J44" s="4">
        <f t="shared" si="3"/>
        <v>1090.4000000000003</v>
      </c>
    </row>
    <row r="45" spans="1:10" x14ac:dyDescent="0.85">
      <c r="A45" s="1">
        <v>46204</v>
      </c>
      <c r="B45" t="s">
        <v>10</v>
      </c>
      <c r="C45" t="s">
        <v>12</v>
      </c>
      <c r="D45" s="2">
        <v>110</v>
      </c>
      <c r="E45" s="4">
        <v>23.9</v>
      </c>
      <c r="F45" s="4">
        <v>15.1</v>
      </c>
      <c r="G45" s="3">
        <f t="shared" si="0"/>
        <v>46204</v>
      </c>
      <c r="H45" s="4">
        <f t="shared" si="1"/>
        <v>2629</v>
      </c>
      <c r="I45" s="4">
        <f t="shared" si="2"/>
        <v>1661</v>
      </c>
      <c r="J45" s="4">
        <f t="shared" si="3"/>
        <v>968</v>
      </c>
    </row>
    <row r="46" spans="1:10" x14ac:dyDescent="0.85">
      <c r="A46" s="1">
        <v>46204</v>
      </c>
      <c r="B46" t="s">
        <v>13</v>
      </c>
      <c r="C46" t="s">
        <v>11</v>
      </c>
      <c r="D46" s="2">
        <v>140</v>
      </c>
      <c r="E46" s="4">
        <v>12.9</v>
      </c>
      <c r="F46" s="4">
        <v>7.7</v>
      </c>
      <c r="G46" s="3">
        <f t="shared" si="0"/>
        <v>46204</v>
      </c>
      <c r="H46" s="4">
        <f t="shared" si="1"/>
        <v>1806</v>
      </c>
      <c r="I46" s="4">
        <f t="shared" si="2"/>
        <v>1078</v>
      </c>
      <c r="J46" s="4">
        <f t="shared" si="3"/>
        <v>728</v>
      </c>
    </row>
    <row r="47" spans="1:10" x14ac:dyDescent="0.85">
      <c r="A47" s="1">
        <v>46204</v>
      </c>
      <c r="B47" t="s">
        <v>13</v>
      </c>
      <c r="C47" t="s">
        <v>14</v>
      </c>
      <c r="D47" s="2">
        <v>118</v>
      </c>
      <c r="E47" s="4">
        <v>19.899999999999999</v>
      </c>
      <c r="F47" s="4">
        <v>12.2</v>
      </c>
      <c r="G47" s="3">
        <f t="shared" si="0"/>
        <v>46204</v>
      </c>
      <c r="H47" s="4">
        <f t="shared" si="1"/>
        <v>2348.1999999999998</v>
      </c>
      <c r="I47" s="4">
        <f t="shared" si="2"/>
        <v>1439.6</v>
      </c>
      <c r="J47" s="4">
        <f t="shared" si="3"/>
        <v>908.59999999999991</v>
      </c>
    </row>
    <row r="48" spans="1:10" x14ac:dyDescent="0.85">
      <c r="A48" s="1">
        <v>46204</v>
      </c>
      <c r="B48" t="s">
        <v>15</v>
      </c>
      <c r="C48" t="s">
        <v>16</v>
      </c>
      <c r="D48" s="2">
        <v>103</v>
      </c>
      <c r="E48" s="4">
        <v>28.4</v>
      </c>
      <c r="F48" s="4">
        <v>19.2</v>
      </c>
      <c r="G48" s="3">
        <f t="shared" si="0"/>
        <v>46204</v>
      </c>
      <c r="H48" s="4">
        <f t="shared" si="1"/>
        <v>2925.2</v>
      </c>
      <c r="I48" s="4">
        <f t="shared" si="2"/>
        <v>1977.6</v>
      </c>
      <c r="J48" s="4">
        <f t="shared" si="3"/>
        <v>947.59999999999991</v>
      </c>
    </row>
    <row r="49" spans="1:10" x14ac:dyDescent="0.85">
      <c r="A49" s="1">
        <v>46204</v>
      </c>
      <c r="B49" t="s">
        <v>17</v>
      </c>
      <c r="C49" t="s">
        <v>18</v>
      </c>
      <c r="D49" s="2">
        <v>205</v>
      </c>
      <c r="E49" s="4">
        <v>11.1</v>
      </c>
      <c r="F49" s="4">
        <v>6.8</v>
      </c>
      <c r="G49" s="3">
        <f t="shared" si="0"/>
        <v>46204</v>
      </c>
      <c r="H49" s="4">
        <f t="shared" si="1"/>
        <v>2275.5</v>
      </c>
      <c r="I49" s="4">
        <f t="shared" si="2"/>
        <v>1394</v>
      </c>
      <c r="J49" s="4">
        <f t="shared" si="3"/>
        <v>881.5</v>
      </c>
    </row>
    <row r="50" spans="1:10" x14ac:dyDescent="0.85">
      <c r="A50" s="1">
        <v>46204</v>
      </c>
      <c r="B50" t="s">
        <v>19</v>
      </c>
      <c r="C50" t="s">
        <v>20</v>
      </c>
      <c r="D50" s="2">
        <v>94</v>
      </c>
      <c r="E50" s="4">
        <v>33.5</v>
      </c>
      <c r="F50" s="4">
        <v>22.9</v>
      </c>
      <c r="G50" s="3">
        <f t="shared" si="0"/>
        <v>46204</v>
      </c>
      <c r="H50" s="4">
        <f t="shared" si="1"/>
        <v>3149</v>
      </c>
      <c r="I50" s="4">
        <f t="shared" si="2"/>
        <v>2152.6</v>
      </c>
      <c r="J50" s="4">
        <f t="shared" si="3"/>
        <v>996.40000000000009</v>
      </c>
    </row>
    <row r="51" spans="1:10" x14ac:dyDescent="0.85">
      <c r="A51" s="1">
        <v>46235</v>
      </c>
      <c r="B51" t="s">
        <v>10</v>
      </c>
      <c r="C51" t="s">
        <v>11</v>
      </c>
      <c r="D51" s="2">
        <v>195</v>
      </c>
      <c r="E51" s="4">
        <v>13.9</v>
      </c>
      <c r="F51" s="4">
        <v>8.1</v>
      </c>
      <c r="G51" s="3">
        <f t="shared" si="0"/>
        <v>46235</v>
      </c>
      <c r="H51" s="4">
        <f t="shared" si="1"/>
        <v>2710.5</v>
      </c>
      <c r="I51" s="4">
        <f t="shared" si="2"/>
        <v>1579.5</v>
      </c>
      <c r="J51" s="4">
        <f t="shared" si="3"/>
        <v>1131</v>
      </c>
    </row>
    <row r="52" spans="1:10" x14ac:dyDescent="0.85">
      <c r="A52" s="1">
        <v>46235</v>
      </c>
      <c r="B52" t="s">
        <v>10</v>
      </c>
      <c r="C52" t="s">
        <v>12</v>
      </c>
      <c r="D52" s="2">
        <v>114</v>
      </c>
      <c r="E52" s="4">
        <v>23.9</v>
      </c>
      <c r="F52" s="4">
        <v>15.1</v>
      </c>
      <c r="G52" s="3">
        <f t="shared" si="0"/>
        <v>46235</v>
      </c>
      <c r="H52" s="4">
        <f t="shared" si="1"/>
        <v>2724.6</v>
      </c>
      <c r="I52" s="4">
        <f t="shared" si="2"/>
        <v>1721.3999999999999</v>
      </c>
      <c r="J52" s="4">
        <f t="shared" si="3"/>
        <v>1003.2</v>
      </c>
    </row>
    <row r="53" spans="1:10" x14ac:dyDescent="0.85">
      <c r="A53" s="1">
        <v>46235</v>
      </c>
      <c r="B53" t="s">
        <v>13</v>
      </c>
      <c r="C53" t="s">
        <v>11</v>
      </c>
      <c r="D53" s="2">
        <v>148</v>
      </c>
      <c r="E53" s="4">
        <v>12.9</v>
      </c>
      <c r="F53" s="4">
        <v>7.7</v>
      </c>
      <c r="G53" s="3">
        <f t="shared" si="0"/>
        <v>46235</v>
      </c>
      <c r="H53" s="4">
        <f t="shared" si="1"/>
        <v>1909.2</v>
      </c>
      <c r="I53" s="4">
        <f t="shared" si="2"/>
        <v>1139.6000000000001</v>
      </c>
      <c r="J53" s="4">
        <f t="shared" si="3"/>
        <v>769.59999999999991</v>
      </c>
    </row>
    <row r="54" spans="1:10" x14ac:dyDescent="0.85">
      <c r="A54" s="1">
        <v>46235</v>
      </c>
      <c r="B54" t="s">
        <v>13</v>
      </c>
      <c r="C54" t="s">
        <v>14</v>
      </c>
      <c r="D54" s="2">
        <v>122</v>
      </c>
      <c r="E54" s="4">
        <v>19.899999999999999</v>
      </c>
      <c r="F54" s="4">
        <v>12.2</v>
      </c>
      <c r="G54" s="3">
        <f t="shared" si="0"/>
        <v>46235</v>
      </c>
      <c r="H54" s="4">
        <f t="shared" si="1"/>
        <v>2427.7999999999997</v>
      </c>
      <c r="I54" s="4">
        <f t="shared" si="2"/>
        <v>1488.3999999999999</v>
      </c>
      <c r="J54" s="4">
        <f t="shared" si="3"/>
        <v>939.39999999999986</v>
      </c>
    </row>
    <row r="55" spans="1:10" x14ac:dyDescent="0.85">
      <c r="A55" s="1">
        <v>46235</v>
      </c>
      <c r="B55" t="s">
        <v>15</v>
      </c>
      <c r="C55" t="s">
        <v>16</v>
      </c>
      <c r="D55" s="2">
        <v>109</v>
      </c>
      <c r="E55" s="4">
        <v>28.4</v>
      </c>
      <c r="F55" s="4">
        <v>19.2</v>
      </c>
      <c r="G55" s="3">
        <f t="shared" si="0"/>
        <v>46235</v>
      </c>
      <c r="H55" s="4">
        <f t="shared" si="1"/>
        <v>3095.6</v>
      </c>
      <c r="I55" s="4">
        <f t="shared" si="2"/>
        <v>2092.7999999999997</v>
      </c>
      <c r="J55" s="4">
        <f t="shared" si="3"/>
        <v>1002.8000000000002</v>
      </c>
    </row>
    <row r="56" spans="1:10" x14ac:dyDescent="0.85">
      <c r="A56" s="1">
        <v>46235</v>
      </c>
      <c r="B56" t="s">
        <v>17</v>
      </c>
      <c r="C56" t="s">
        <v>18</v>
      </c>
      <c r="D56" s="2">
        <v>212</v>
      </c>
      <c r="E56" s="4">
        <v>11.1</v>
      </c>
      <c r="F56" s="4">
        <v>6.8</v>
      </c>
      <c r="G56" s="3">
        <f t="shared" si="0"/>
        <v>46235</v>
      </c>
      <c r="H56" s="4">
        <f t="shared" si="1"/>
        <v>2353.1999999999998</v>
      </c>
      <c r="I56" s="4">
        <f t="shared" si="2"/>
        <v>1441.6</v>
      </c>
      <c r="J56" s="4">
        <f t="shared" si="3"/>
        <v>911.59999999999991</v>
      </c>
    </row>
    <row r="57" spans="1:10" x14ac:dyDescent="0.85">
      <c r="A57" s="1">
        <v>46235</v>
      </c>
      <c r="B57" t="s">
        <v>19</v>
      </c>
      <c r="C57" t="s">
        <v>20</v>
      </c>
      <c r="D57" s="2">
        <v>99</v>
      </c>
      <c r="E57" s="4">
        <v>33.5</v>
      </c>
      <c r="F57" s="4">
        <v>22.9</v>
      </c>
      <c r="G57" s="3">
        <f t="shared" si="0"/>
        <v>46235</v>
      </c>
      <c r="H57" s="4">
        <f t="shared" si="1"/>
        <v>3316.5</v>
      </c>
      <c r="I57" s="4">
        <f t="shared" si="2"/>
        <v>2267.1</v>
      </c>
      <c r="J57" s="4">
        <f t="shared" si="3"/>
        <v>1049.4000000000001</v>
      </c>
    </row>
    <row r="58" spans="1:10" x14ac:dyDescent="0.85">
      <c r="A58" s="1">
        <v>46266</v>
      </c>
      <c r="B58" t="s">
        <v>10</v>
      </c>
      <c r="C58" t="s">
        <v>11</v>
      </c>
      <c r="D58" s="2">
        <v>202</v>
      </c>
      <c r="E58" s="4">
        <v>14.2</v>
      </c>
      <c r="F58" s="4">
        <v>8.4</v>
      </c>
      <c r="G58" s="3">
        <f t="shared" si="0"/>
        <v>46266</v>
      </c>
      <c r="H58" s="4">
        <f t="shared" si="1"/>
        <v>2868.3999999999996</v>
      </c>
      <c r="I58" s="4">
        <f t="shared" si="2"/>
        <v>1696.8000000000002</v>
      </c>
      <c r="J58" s="4">
        <f t="shared" si="3"/>
        <v>1171.5999999999995</v>
      </c>
    </row>
    <row r="59" spans="1:10" x14ac:dyDescent="0.85">
      <c r="A59" s="1">
        <v>46266</v>
      </c>
      <c r="B59" t="s">
        <v>10</v>
      </c>
      <c r="C59" t="s">
        <v>12</v>
      </c>
      <c r="D59" s="2">
        <v>118</v>
      </c>
      <c r="E59" s="4">
        <v>24.3</v>
      </c>
      <c r="F59" s="4">
        <v>15.4</v>
      </c>
      <c r="G59" s="3">
        <f t="shared" si="0"/>
        <v>46266</v>
      </c>
      <c r="H59" s="4">
        <f t="shared" si="1"/>
        <v>2867.4</v>
      </c>
      <c r="I59" s="4">
        <f t="shared" si="2"/>
        <v>1817.2</v>
      </c>
      <c r="J59" s="4">
        <f t="shared" si="3"/>
        <v>1050.2</v>
      </c>
    </row>
    <row r="60" spans="1:10" x14ac:dyDescent="0.85">
      <c r="A60" s="1">
        <v>46266</v>
      </c>
      <c r="B60" t="s">
        <v>13</v>
      </c>
      <c r="C60" t="s">
        <v>11</v>
      </c>
      <c r="D60" s="2">
        <v>155</v>
      </c>
      <c r="E60" s="4">
        <v>13.2</v>
      </c>
      <c r="F60" s="4">
        <v>7.9</v>
      </c>
      <c r="G60" s="3">
        <f t="shared" si="0"/>
        <v>46266</v>
      </c>
      <c r="H60" s="4">
        <f t="shared" si="1"/>
        <v>2046</v>
      </c>
      <c r="I60" s="4">
        <f t="shared" si="2"/>
        <v>1224.5</v>
      </c>
      <c r="J60" s="4">
        <f t="shared" si="3"/>
        <v>821.5</v>
      </c>
    </row>
    <row r="61" spans="1:10" x14ac:dyDescent="0.85">
      <c r="A61" s="1">
        <v>46266</v>
      </c>
      <c r="B61" t="s">
        <v>13</v>
      </c>
      <c r="C61" t="s">
        <v>14</v>
      </c>
      <c r="D61" s="2">
        <v>128</v>
      </c>
      <c r="E61" s="4">
        <v>20.3</v>
      </c>
      <c r="F61" s="4">
        <v>12.6</v>
      </c>
      <c r="G61" s="3">
        <f t="shared" si="0"/>
        <v>46266</v>
      </c>
      <c r="H61" s="4">
        <f t="shared" si="1"/>
        <v>2598.4</v>
      </c>
      <c r="I61" s="4">
        <f t="shared" si="2"/>
        <v>1612.8</v>
      </c>
      <c r="J61" s="4">
        <f t="shared" si="3"/>
        <v>985.60000000000014</v>
      </c>
    </row>
    <row r="62" spans="1:10" x14ac:dyDescent="0.85">
      <c r="A62" s="1">
        <v>46266</v>
      </c>
      <c r="B62" t="s">
        <v>15</v>
      </c>
      <c r="C62" t="s">
        <v>16</v>
      </c>
      <c r="D62" s="2">
        <v>114</v>
      </c>
      <c r="E62" s="4">
        <v>29.1</v>
      </c>
      <c r="F62" s="4">
        <v>19.8</v>
      </c>
      <c r="G62" s="3">
        <f t="shared" si="0"/>
        <v>46266</v>
      </c>
      <c r="H62" s="4">
        <f t="shared" si="1"/>
        <v>3317.4</v>
      </c>
      <c r="I62" s="4">
        <f t="shared" si="2"/>
        <v>2257.2000000000003</v>
      </c>
      <c r="J62" s="4">
        <f t="shared" si="3"/>
        <v>1060.1999999999998</v>
      </c>
    </row>
    <row r="63" spans="1:10" x14ac:dyDescent="0.85">
      <c r="A63" s="1">
        <v>46266</v>
      </c>
      <c r="B63" t="s">
        <v>17</v>
      </c>
      <c r="C63" t="s">
        <v>18</v>
      </c>
      <c r="D63" s="2">
        <v>220</v>
      </c>
      <c r="E63" s="4">
        <v>11.4</v>
      </c>
      <c r="F63" s="4">
        <v>7.1</v>
      </c>
      <c r="G63" s="3">
        <f t="shared" si="0"/>
        <v>46266</v>
      </c>
      <c r="H63" s="4">
        <f t="shared" si="1"/>
        <v>2508</v>
      </c>
      <c r="I63" s="4">
        <f t="shared" si="2"/>
        <v>1562</v>
      </c>
      <c r="J63" s="4">
        <f t="shared" si="3"/>
        <v>946</v>
      </c>
    </row>
    <row r="64" spans="1:10" x14ac:dyDescent="0.85">
      <c r="A64" s="1">
        <v>46266</v>
      </c>
      <c r="B64" t="s">
        <v>19</v>
      </c>
      <c r="C64" t="s">
        <v>20</v>
      </c>
      <c r="D64" s="2">
        <v>105</v>
      </c>
      <c r="E64" s="4">
        <v>34.200000000000003</v>
      </c>
      <c r="F64" s="4">
        <v>23.4</v>
      </c>
      <c r="G64" s="3">
        <f t="shared" si="0"/>
        <v>46266</v>
      </c>
      <c r="H64" s="4">
        <f t="shared" si="1"/>
        <v>3591.0000000000005</v>
      </c>
      <c r="I64" s="4">
        <f t="shared" si="2"/>
        <v>2457</v>
      </c>
      <c r="J64" s="4">
        <f t="shared" si="3"/>
        <v>1134.0000000000005</v>
      </c>
    </row>
    <row r="65" spans="1:10" x14ac:dyDescent="0.85">
      <c r="A65" s="1">
        <v>46296</v>
      </c>
      <c r="B65" t="s">
        <v>10</v>
      </c>
      <c r="C65" t="s">
        <v>11</v>
      </c>
      <c r="D65" s="2">
        <v>210</v>
      </c>
      <c r="E65" s="4">
        <v>14.2</v>
      </c>
      <c r="F65" s="4">
        <v>8.4</v>
      </c>
      <c r="G65" s="3">
        <f t="shared" si="0"/>
        <v>46296</v>
      </c>
      <c r="H65" s="4">
        <f t="shared" si="1"/>
        <v>2982</v>
      </c>
      <c r="I65" s="4">
        <f t="shared" si="2"/>
        <v>1764</v>
      </c>
      <c r="J65" s="4">
        <f t="shared" si="3"/>
        <v>1218</v>
      </c>
    </row>
    <row r="66" spans="1:10" x14ac:dyDescent="0.85">
      <c r="A66" s="1">
        <v>46296</v>
      </c>
      <c r="B66" t="s">
        <v>10</v>
      </c>
      <c r="C66" t="s">
        <v>12</v>
      </c>
      <c r="D66" s="2">
        <v>123</v>
      </c>
      <c r="E66" s="4">
        <v>24.3</v>
      </c>
      <c r="F66" s="4">
        <v>15.4</v>
      </c>
      <c r="G66" s="3">
        <f t="shared" ref="G66:G85" si="4">DATE(YEAR(A66),MONTH(A66),1)</f>
        <v>46296</v>
      </c>
      <c r="H66" s="4">
        <f t="shared" ref="H66:H85" si="5">D66*E66</f>
        <v>2988.9</v>
      </c>
      <c r="I66" s="4">
        <f t="shared" ref="I66:I85" si="6">D66*F66</f>
        <v>1894.2</v>
      </c>
      <c r="J66" s="4">
        <f t="shared" ref="J66:J85" si="7">H66-I66</f>
        <v>1094.7</v>
      </c>
    </row>
    <row r="67" spans="1:10" x14ac:dyDescent="0.85">
      <c r="A67" s="1">
        <v>46296</v>
      </c>
      <c r="B67" t="s">
        <v>13</v>
      </c>
      <c r="C67" t="s">
        <v>11</v>
      </c>
      <c r="D67" s="2">
        <v>162</v>
      </c>
      <c r="E67" s="4">
        <v>13.2</v>
      </c>
      <c r="F67" s="4">
        <v>7.9</v>
      </c>
      <c r="G67" s="3">
        <f t="shared" si="4"/>
        <v>46296</v>
      </c>
      <c r="H67" s="4">
        <f t="shared" si="5"/>
        <v>2138.4</v>
      </c>
      <c r="I67" s="4">
        <f t="shared" si="6"/>
        <v>1279.8</v>
      </c>
      <c r="J67" s="4">
        <f t="shared" si="7"/>
        <v>858.60000000000014</v>
      </c>
    </row>
    <row r="68" spans="1:10" x14ac:dyDescent="0.85">
      <c r="A68" s="1">
        <v>46296</v>
      </c>
      <c r="B68" t="s">
        <v>13</v>
      </c>
      <c r="C68" t="s">
        <v>14</v>
      </c>
      <c r="D68" s="2">
        <v>134</v>
      </c>
      <c r="E68" s="4">
        <v>20.3</v>
      </c>
      <c r="F68" s="4">
        <v>12.6</v>
      </c>
      <c r="G68" s="3">
        <f t="shared" si="4"/>
        <v>46296</v>
      </c>
      <c r="H68" s="4">
        <f t="shared" si="5"/>
        <v>2720.2000000000003</v>
      </c>
      <c r="I68" s="4">
        <f t="shared" si="6"/>
        <v>1688.3999999999999</v>
      </c>
      <c r="J68" s="4">
        <f t="shared" si="7"/>
        <v>1031.8000000000004</v>
      </c>
    </row>
    <row r="69" spans="1:10" x14ac:dyDescent="0.85">
      <c r="A69" s="1">
        <v>46296</v>
      </c>
      <c r="B69" t="s">
        <v>15</v>
      </c>
      <c r="C69" t="s">
        <v>16</v>
      </c>
      <c r="D69" s="2">
        <v>118</v>
      </c>
      <c r="E69" s="4">
        <v>29.1</v>
      </c>
      <c r="F69" s="4">
        <v>19.8</v>
      </c>
      <c r="G69" s="3">
        <f t="shared" si="4"/>
        <v>46296</v>
      </c>
      <c r="H69" s="4">
        <f t="shared" si="5"/>
        <v>3433.8</v>
      </c>
      <c r="I69" s="4">
        <f t="shared" si="6"/>
        <v>2336.4</v>
      </c>
      <c r="J69" s="4">
        <f t="shared" si="7"/>
        <v>1097.4000000000001</v>
      </c>
    </row>
    <row r="70" spans="1:10" x14ac:dyDescent="0.85">
      <c r="A70" s="1">
        <v>46296</v>
      </c>
      <c r="B70" t="s">
        <v>17</v>
      </c>
      <c r="C70" t="s">
        <v>18</v>
      </c>
      <c r="D70" s="2">
        <v>228</v>
      </c>
      <c r="E70" s="4">
        <v>11.4</v>
      </c>
      <c r="F70" s="4">
        <v>7.1</v>
      </c>
      <c r="G70" s="3">
        <f t="shared" si="4"/>
        <v>46296</v>
      </c>
      <c r="H70" s="4">
        <f t="shared" si="5"/>
        <v>2599.2000000000003</v>
      </c>
      <c r="I70" s="4">
        <f t="shared" si="6"/>
        <v>1618.8</v>
      </c>
      <c r="J70" s="4">
        <f t="shared" si="7"/>
        <v>980.40000000000032</v>
      </c>
    </row>
    <row r="71" spans="1:10" x14ac:dyDescent="0.85">
      <c r="A71" s="1">
        <v>46296</v>
      </c>
      <c r="B71" t="s">
        <v>19</v>
      </c>
      <c r="C71" t="s">
        <v>20</v>
      </c>
      <c r="D71" s="2">
        <v>112</v>
      </c>
      <c r="E71" s="4">
        <v>34.200000000000003</v>
      </c>
      <c r="F71" s="4">
        <v>23.4</v>
      </c>
      <c r="G71" s="3">
        <f t="shared" si="4"/>
        <v>46296</v>
      </c>
      <c r="H71" s="4">
        <f t="shared" si="5"/>
        <v>3830.4000000000005</v>
      </c>
      <c r="I71" s="4">
        <f t="shared" si="6"/>
        <v>2620.7999999999997</v>
      </c>
      <c r="J71" s="4">
        <f t="shared" si="7"/>
        <v>1209.6000000000008</v>
      </c>
    </row>
    <row r="72" spans="1:10" x14ac:dyDescent="0.85">
      <c r="A72" s="1">
        <v>46327</v>
      </c>
      <c r="B72" t="s">
        <v>10</v>
      </c>
      <c r="C72" t="s">
        <v>11</v>
      </c>
      <c r="D72" s="2">
        <v>218</v>
      </c>
      <c r="E72" s="4">
        <v>14.6</v>
      </c>
      <c r="F72" s="4">
        <v>8.6999999999999993</v>
      </c>
      <c r="G72" s="3">
        <f t="shared" si="4"/>
        <v>46327</v>
      </c>
      <c r="H72" s="4">
        <f t="shared" si="5"/>
        <v>3182.7999999999997</v>
      </c>
      <c r="I72" s="4">
        <f t="shared" si="6"/>
        <v>1896.6</v>
      </c>
      <c r="J72" s="4">
        <f t="shared" si="7"/>
        <v>1286.1999999999998</v>
      </c>
    </row>
    <row r="73" spans="1:10" x14ac:dyDescent="0.85">
      <c r="A73" s="1">
        <v>46327</v>
      </c>
      <c r="B73" t="s">
        <v>10</v>
      </c>
      <c r="C73" t="s">
        <v>12</v>
      </c>
      <c r="D73" s="2">
        <v>129</v>
      </c>
      <c r="E73" s="4">
        <v>24.9</v>
      </c>
      <c r="F73" s="4">
        <v>15.8</v>
      </c>
      <c r="G73" s="3">
        <f t="shared" si="4"/>
        <v>46327</v>
      </c>
      <c r="H73" s="4">
        <f t="shared" si="5"/>
        <v>3212.1</v>
      </c>
      <c r="I73" s="4">
        <f t="shared" si="6"/>
        <v>2038.2</v>
      </c>
      <c r="J73" s="4">
        <f t="shared" si="7"/>
        <v>1173.8999999999999</v>
      </c>
    </row>
    <row r="74" spans="1:10" x14ac:dyDescent="0.85">
      <c r="A74" s="1">
        <v>46327</v>
      </c>
      <c r="B74" t="s">
        <v>13</v>
      </c>
      <c r="C74" t="s">
        <v>11</v>
      </c>
      <c r="D74" s="2">
        <v>170</v>
      </c>
      <c r="E74" s="4">
        <v>13.6</v>
      </c>
      <c r="F74" s="4">
        <v>8.1</v>
      </c>
      <c r="G74" s="3">
        <f t="shared" si="4"/>
        <v>46327</v>
      </c>
      <c r="H74" s="4">
        <f t="shared" si="5"/>
        <v>2312</v>
      </c>
      <c r="I74" s="4">
        <f t="shared" si="6"/>
        <v>1377</v>
      </c>
      <c r="J74" s="4">
        <f t="shared" si="7"/>
        <v>935</v>
      </c>
    </row>
    <row r="75" spans="1:10" x14ac:dyDescent="0.85">
      <c r="A75" s="1">
        <v>46327</v>
      </c>
      <c r="B75" t="s">
        <v>13</v>
      </c>
      <c r="C75" t="s">
        <v>14</v>
      </c>
      <c r="D75" s="2">
        <v>140</v>
      </c>
      <c r="E75" s="4">
        <v>20.9</v>
      </c>
      <c r="F75" s="4">
        <v>12.9</v>
      </c>
      <c r="G75" s="3">
        <f t="shared" si="4"/>
        <v>46327</v>
      </c>
      <c r="H75" s="4">
        <f t="shared" si="5"/>
        <v>2926</v>
      </c>
      <c r="I75" s="4">
        <f t="shared" si="6"/>
        <v>1806</v>
      </c>
      <c r="J75" s="4">
        <f t="shared" si="7"/>
        <v>1120</v>
      </c>
    </row>
    <row r="76" spans="1:10" x14ac:dyDescent="0.85">
      <c r="A76" s="1">
        <v>46327</v>
      </c>
      <c r="B76" t="s">
        <v>15</v>
      </c>
      <c r="C76" t="s">
        <v>16</v>
      </c>
      <c r="D76" s="2">
        <v>123</v>
      </c>
      <c r="E76" s="4">
        <v>29.8</v>
      </c>
      <c r="F76" s="4">
        <v>20.2</v>
      </c>
      <c r="G76" s="3">
        <f t="shared" si="4"/>
        <v>46327</v>
      </c>
      <c r="H76" s="4">
        <f t="shared" si="5"/>
        <v>3665.4</v>
      </c>
      <c r="I76" s="4">
        <f t="shared" si="6"/>
        <v>2484.6</v>
      </c>
      <c r="J76" s="4">
        <f t="shared" si="7"/>
        <v>1180.8000000000002</v>
      </c>
    </row>
    <row r="77" spans="1:10" x14ac:dyDescent="0.85">
      <c r="A77" s="1">
        <v>46327</v>
      </c>
      <c r="B77" t="s">
        <v>17</v>
      </c>
      <c r="C77" t="s">
        <v>18</v>
      </c>
      <c r="D77" s="2">
        <v>235</v>
      </c>
      <c r="E77" s="4">
        <v>11.9</v>
      </c>
      <c r="F77" s="4">
        <v>7.4</v>
      </c>
      <c r="G77" s="3">
        <f t="shared" si="4"/>
        <v>46327</v>
      </c>
      <c r="H77" s="4">
        <f t="shared" si="5"/>
        <v>2796.5</v>
      </c>
      <c r="I77" s="4">
        <f t="shared" si="6"/>
        <v>1739</v>
      </c>
      <c r="J77" s="4">
        <f t="shared" si="7"/>
        <v>1057.5</v>
      </c>
    </row>
    <row r="78" spans="1:10" x14ac:dyDescent="0.85">
      <c r="A78" s="1">
        <v>46327</v>
      </c>
      <c r="B78" t="s">
        <v>19</v>
      </c>
      <c r="C78" t="s">
        <v>20</v>
      </c>
      <c r="D78" s="2">
        <v>118</v>
      </c>
      <c r="E78" s="4">
        <v>35</v>
      </c>
      <c r="F78" s="4">
        <v>23.9</v>
      </c>
      <c r="G78" s="3">
        <f t="shared" si="4"/>
        <v>46327</v>
      </c>
      <c r="H78" s="4">
        <f t="shared" si="5"/>
        <v>4130</v>
      </c>
      <c r="I78" s="4">
        <f t="shared" si="6"/>
        <v>2820.2</v>
      </c>
      <c r="J78" s="4">
        <f t="shared" si="7"/>
        <v>1309.8000000000002</v>
      </c>
    </row>
    <row r="79" spans="1:10" x14ac:dyDescent="0.85">
      <c r="A79" s="1">
        <v>46357</v>
      </c>
      <c r="B79" t="s">
        <v>10</v>
      </c>
      <c r="C79" t="s">
        <v>11</v>
      </c>
      <c r="D79" s="2">
        <v>225</v>
      </c>
      <c r="E79" s="4">
        <v>14.6</v>
      </c>
      <c r="F79" s="4">
        <v>8.6999999999999993</v>
      </c>
      <c r="G79" s="3">
        <f t="shared" si="4"/>
        <v>46357</v>
      </c>
      <c r="H79" s="4">
        <f t="shared" si="5"/>
        <v>3285</v>
      </c>
      <c r="I79" s="4">
        <f t="shared" si="6"/>
        <v>1957.4999999999998</v>
      </c>
      <c r="J79" s="4">
        <f t="shared" si="7"/>
        <v>1327.5000000000002</v>
      </c>
    </row>
    <row r="80" spans="1:10" x14ac:dyDescent="0.85">
      <c r="A80" s="1">
        <v>46357</v>
      </c>
      <c r="B80" t="s">
        <v>10</v>
      </c>
      <c r="C80" t="s">
        <v>12</v>
      </c>
      <c r="D80" s="2">
        <v>134</v>
      </c>
      <c r="E80" s="4">
        <v>24.9</v>
      </c>
      <c r="F80" s="4">
        <v>15.8</v>
      </c>
      <c r="G80" s="3">
        <f t="shared" si="4"/>
        <v>46357</v>
      </c>
      <c r="H80" s="4">
        <f t="shared" si="5"/>
        <v>3336.6</v>
      </c>
      <c r="I80" s="4">
        <f t="shared" si="6"/>
        <v>2117.2000000000003</v>
      </c>
      <c r="J80" s="4">
        <f t="shared" si="7"/>
        <v>1219.3999999999996</v>
      </c>
    </row>
    <row r="81" spans="1:10" x14ac:dyDescent="0.85">
      <c r="A81" s="1">
        <v>46357</v>
      </c>
      <c r="B81" t="s">
        <v>13</v>
      </c>
      <c r="C81" t="s">
        <v>11</v>
      </c>
      <c r="D81" s="2">
        <v>178</v>
      </c>
      <c r="E81" s="4">
        <v>13.6</v>
      </c>
      <c r="F81" s="4">
        <v>8.1</v>
      </c>
      <c r="G81" s="3">
        <f t="shared" si="4"/>
        <v>46357</v>
      </c>
      <c r="H81" s="4">
        <f t="shared" si="5"/>
        <v>2420.7999999999997</v>
      </c>
      <c r="I81" s="4">
        <f t="shared" si="6"/>
        <v>1441.8</v>
      </c>
      <c r="J81" s="4">
        <f t="shared" si="7"/>
        <v>978.99999999999977</v>
      </c>
    </row>
    <row r="82" spans="1:10" x14ac:dyDescent="0.85">
      <c r="A82" s="1">
        <v>46357</v>
      </c>
      <c r="B82" t="s">
        <v>13</v>
      </c>
      <c r="C82" t="s">
        <v>14</v>
      </c>
      <c r="D82" s="2">
        <v>147</v>
      </c>
      <c r="E82" s="4">
        <v>20.9</v>
      </c>
      <c r="F82" s="4">
        <v>12.9</v>
      </c>
      <c r="G82" s="3">
        <f t="shared" si="4"/>
        <v>46357</v>
      </c>
      <c r="H82" s="4">
        <f t="shared" si="5"/>
        <v>3072.2999999999997</v>
      </c>
      <c r="I82" s="4">
        <f t="shared" si="6"/>
        <v>1896.3</v>
      </c>
      <c r="J82" s="4">
        <f t="shared" si="7"/>
        <v>1175.9999999999998</v>
      </c>
    </row>
    <row r="83" spans="1:10" x14ac:dyDescent="0.85">
      <c r="A83" s="1">
        <v>46357</v>
      </c>
      <c r="B83" t="s">
        <v>15</v>
      </c>
      <c r="C83" t="s">
        <v>16</v>
      </c>
      <c r="D83" s="2">
        <v>130</v>
      </c>
      <c r="E83" s="4">
        <v>29.8</v>
      </c>
      <c r="F83" s="4">
        <v>20.2</v>
      </c>
      <c r="G83" s="3">
        <f t="shared" si="4"/>
        <v>46357</v>
      </c>
      <c r="H83" s="4">
        <f t="shared" si="5"/>
        <v>3874</v>
      </c>
      <c r="I83" s="4">
        <f t="shared" si="6"/>
        <v>2626</v>
      </c>
      <c r="J83" s="4">
        <f t="shared" si="7"/>
        <v>1248</v>
      </c>
    </row>
    <row r="84" spans="1:10" x14ac:dyDescent="0.85">
      <c r="A84" s="1">
        <v>46357</v>
      </c>
      <c r="B84" t="s">
        <v>17</v>
      </c>
      <c r="C84" t="s">
        <v>18</v>
      </c>
      <c r="D84" s="2">
        <v>242</v>
      </c>
      <c r="E84" s="4">
        <v>11.9</v>
      </c>
      <c r="F84" s="4">
        <v>7.4</v>
      </c>
      <c r="G84" s="3">
        <f t="shared" si="4"/>
        <v>46357</v>
      </c>
      <c r="H84" s="4">
        <f t="shared" si="5"/>
        <v>2879.8</v>
      </c>
      <c r="I84" s="4">
        <f t="shared" si="6"/>
        <v>1790.8000000000002</v>
      </c>
      <c r="J84" s="4">
        <f t="shared" si="7"/>
        <v>1089</v>
      </c>
    </row>
    <row r="85" spans="1:10" x14ac:dyDescent="0.85">
      <c r="A85" s="1">
        <v>46357</v>
      </c>
      <c r="B85" t="s">
        <v>19</v>
      </c>
      <c r="C85" t="s">
        <v>20</v>
      </c>
      <c r="D85" s="2">
        <v>125</v>
      </c>
      <c r="E85" s="4">
        <v>35</v>
      </c>
      <c r="F85" s="4">
        <v>23.9</v>
      </c>
      <c r="G85" s="3">
        <f t="shared" si="4"/>
        <v>46357</v>
      </c>
      <c r="H85" s="4">
        <f t="shared" si="5"/>
        <v>4375</v>
      </c>
      <c r="I85" s="4">
        <f t="shared" si="6"/>
        <v>2987.5</v>
      </c>
      <c r="J85" s="4">
        <f t="shared" si="7"/>
        <v>1387.5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Mount</dc:creator>
  <cp:keywords/>
  <dc:description/>
  <cp:lastModifiedBy>George Mount</cp:lastModifiedBy>
  <cp:revision/>
  <dcterms:created xsi:type="dcterms:W3CDTF">2026-02-11T17:56:26Z</dcterms:created>
  <dcterms:modified xsi:type="dcterms:W3CDTF">2026-02-11T19:59:08Z</dcterms:modified>
  <cp:category/>
  <cp:contentStatus/>
</cp:coreProperties>
</file>
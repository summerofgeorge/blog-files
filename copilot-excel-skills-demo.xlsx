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blog-files\"/>
    </mc:Choice>
  </mc:AlternateContent>
  <xr:revisionPtr revIDLastSave="0" documentId="13_ncr:1_{32F58019-356A-424B-BBE8-940C9F47F19E}" xr6:coauthVersionLast="47" xr6:coauthVersionMax="47" xr10:uidLastSave="{00000000-0000-0000-0000-000000000000}"/>
  <bookViews>
    <workbookView xWindow="-98" yWindow="-98" windowWidth="18915" windowHeight="12676" tabRatio="500" firstSheet="3" activeTab="3" xr2:uid="{00000000-000D-0000-FFFF-FFFF00000000}"/>
  </bookViews>
  <sheets>
    <sheet name="Start Here" sheetId="1" r:id="rId1"/>
    <sheet name="Unit Economics" sheetId="2" r:id="rId2"/>
    <sheet name="Unit Economics (Key)" sheetId="3" r:id="rId3"/>
    <sheet name="P&amp;L Variance" sheetId="4" r:id="rId4"/>
    <sheet name="P&amp;L Variance (Key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2" i="4" l="1"/>
  <c r="M10" i="4"/>
  <c r="N10" i="4" s="1"/>
  <c r="L10" i="4"/>
  <c r="J10" i="4"/>
  <c r="I10" i="4"/>
  <c r="H10" i="4"/>
  <c r="G10" i="4"/>
  <c r="M6" i="4"/>
  <c r="N6" i="4" s="1"/>
  <c r="L6" i="4"/>
  <c r="J6" i="4"/>
  <c r="I6" i="4"/>
  <c r="H6" i="4"/>
  <c r="G6" i="4"/>
  <c r="M14" i="4"/>
  <c r="N14" i="4" s="1"/>
  <c r="L14" i="4"/>
  <c r="J14" i="4"/>
  <c r="I14" i="4"/>
  <c r="H14" i="4"/>
  <c r="G14" i="4"/>
  <c r="M11" i="4"/>
  <c r="N11" i="4" s="1"/>
  <c r="L11" i="4"/>
  <c r="J11" i="4"/>
  <c r="I11" i="4"/>
  <c r="H11" i="4"/>
  <c r="G11" i="4"/>
  <c r="M13" i="4"/>
  <c r="N13" i="4" s="1"/>
  <c r="L13" i="4"/>
  <c r="J13" i="4"/>
  <c r="I13" i="4"/>
  <c r="H13" i="4"/>
  <c r="G13" i="4"/>
  <c r="M8" i="4"/>
  <c r="N8" i="4" s="1"/>
  <c r="L8" i="4"/>
  <c r="K8" i="4"/>
  <c r="J8" i="4"/>
  <c r="O8" i="4" s="1"/>
  <c r="I8" i="4"/>
  <c r="H8" i="4"/>
  <c r="G8" i="4"/>
  <c r="M9" i="4"/>
  <c r="N9" i="4" s="1"/>
  <c r="L9" i="4"/>
  <c r="J9" i="4"/>
  <c r="I9" i="4"/>
  <c r="H9" i="4"/>
  <c r="G9" i="4"/>
  <c r="M12" i="4"/>
  <c r="N12" i="4" s="1"/>
  <c r="L12" i="4"/>
  <c r="J12" i="4"/>
  <c r="K12" i="4" s="1"/>
  <c r="I12" i="4"/>
  <c r="H12" i="4"/>
  <c r="G12" i="4"/>
  <c r="M7" i="4"/>
  <c r="N7" i="4" s="1"/>
  <c r="L7" i="4"/>
  <c r="J7" i="4"/>
  <c r="I7" i="4"/>
  <c r="H7" i="4"/>
  <c r="G7" i="4"/>
  <c r="B26" i="2"/>
  <c r="C23" i="2"/>
  <c r="C22" i="2"/>
  <c r="C21" i="2"/>
  <c r="C20" i="2"/>
  <c r="C19" i="2"/>
  <c r="C18" i="2"/>
  <c r="H12" i="5"/>
  <c r="G12" i="5"/>
  <c r="D12" i="5"/>
  <c r="C12" i="5"/>
  <c r="H11" i="5"/>
  <c r="G11" i="5"/>
  <c r="D11" i="5"/>
  <c r="C11" i="5"/>
  <c r="H10" i="5"/>
  <c r="G10" i="5"/>
  <c r="D10" i="5"/>
  <c r="C10" i="5"/>
  <c r="H9" i="5"/>
  <c r="G9" i="5"/>
  <c r="D9" i="5"/>
  <c r="C9" i="5"/>
  <c r="H7" i="5"/>
  <c r="G7" i="5"/>
  <c r="D7" i="5"/>
  <c r="C7" i="5"/>
  <c r="H6" i="5"/>
  <c r="G6" i="5"/>
  <c r="D6" i="5"/>
  <c r="C6" i="5"/>
  <c r="E15" i="4"/>
  <c r="D15" i="4"/>
  <c r="D13" i="5" s="1"/>
  <c r="C15" i="4"/>
  <c r="E8" i="4"/>
  <c r="E17" i="4" s="1"/>
  <c r="D8" i="4"/>
  <c r="C8" i="4"/>
  <c r="C8" i="3"/>
  <c r="C7" i="3"/>
  <c r="C9" i="3" s="1"/>
  <c r="C10" i="3" s="1"/>
  <c r="C6" i="3"/>
  <c r="C11" i="3" s="1"/>
  <c r="O10" i="4" l="1"/>
  <c r="K10" i="4"/>
  <c r="K6" i="4"/>
  <c r="O6" i="4"/>
  <c r="O14" i="4"/>
  <c r="K14" i="4"/>
  <c r="O11" i="4"/>
  <c r="K11" i="4"/>
  <c r="O13" i="4"/>
  <c r="K13" i="4"/>
  <c r="O9" i="4"/>
  <c r="K9" i="4"/>
  <c r="O7" i="4"/>
  <c r="K7" i="4"/>
  <c r="F12" i="5"/>
  <c r="E12" i="5"/>
  <c r="I12" i="5" s="1"/>
  <c r="F11" i="5"/>
  <c r="E11" i="5"/>
  <c r="I11" i="5" s="1"/>
  <c r="F10" i="5"/>
  <c r="E10" i="5"/>
  <c r="I10" i="5" s="1"/>
  <c r="F9" i="5"/>
  <c r="E9" i="5"/>
  <c r="I9" i="5" s="1"/>
  <c r="F7" i="5"/>
  <c r="E7" i="5"/>
  <c r="I7" i="5" s="1"/>
  <c r="F6" i="5"/>
  <c r="E6" i="5"/>
  <c r="I6" i="5" s="1"/>
  <c r="H13" i="5"/>
  <c r="G13" i="5"/>
  <c r="C13" i="5"/>
  <c r="D17" i="4"/>
  <c r="D14" i="5" s="1"/>
  <c r="D8" i="5"/>
  <c r="C17" i="4"/>
  <c r="H8" i="5"/>
  <c r="G8" i="5"/>
  <c r="C8" i="5"/>
  <c r="E13" i="5" l="1"/>
  <c r="F13" i="5"/>
  <c r="C14" i="5"/>
  <c r="G14" i="5"/>
  <c r="H14" i="5"/>
  <c r="E8" i="5"/>
  <c r="F8" i="5"/>
  <c r="E14" i="5" l="1"/>
  <c r="F14" i="5"/>
  <c r="I13" i="5"/>
  <c r="I8" i="5"/>
  <c r="I14" i="5" l="1"/>
</calcChain>
</file>

<file path=xl/sharedStrings.xml><?xml version="1.0" encoding="utf-8"?>
<sst xmlns="http://schemas.openxmlformats.org/spreadsheetml/2006/main" count="137" uniqueCount="115">
  <si>
    <t>STRINGFEST ANALYTICS</t>
  </si>
  <si>
    <t>Copilot in Excel Skills — Starter Workbook</t>
  </si>
  <si>
    <t>A file to demo and test skills in Copilot for Excel. Two demos: one built-in finance skill, one custom skill you install.</t>
  </si>
  <si>
    <t>What's inside</t>
  </si>
  <si>
    <t>• Unit Economics — clean input block for the built-in @unit-economics skill (Demo 1).</t>
  </si>
  <si>
    <t>• Unit Economics (Key) — the same metrics worked out with live formulas, so you can check Copilot's answer.</t>
  </si>
  <si>
    <t>• P&amp;L Variance — a monthly P&amp;L (actual / budget / prior) for the custom @variance-commentary skill (Demo 2).</t>
  </si>
  <si>
    <t>• P&amp;L Variance (Key) — variances and a materiality flag worked out with formulas, so you can check what should get flagged.</t>
  </si>
  <si>
    <t>Tip: hide or delete the two (Key) sheets before you run this live in front of an audience, so nobody peeks at the answers.</t>
  </si>
  <si>
    <t>Demo 1 — Use a built-in skill (@unit-economics)</t>
  </si>
  <si>
    <t>1. Go to the Unit Economics sheet. The yellow cells are the inputs.</t>
  </si>
  <si>
    <t>2. Open Copilot, select the input range, and paste this prompt:</t>
  </si>
  <si>
    <t xml:space="preserve">     Using the inputs on this sheet, run @unit-economics. Calculate CAC, LTV, the LTV to CAC ratio, and CAC payback, and tell me whether these unit economics look healthy.</t>
  </si>
  <si>
    <t>3. Compare Copilot's output to the Unit Economics (Key) sheet.</t>
  </si>
  <si>
    <t>4. Change one input (set churn to 6%) and run the same prompt again to watch the analysis rebuild.</t>
  </si>
  <si>
    <t>Demo 2 — Build and use a custom skill (@variance-commentary)</t>
  </si>
  <si>
    <t>This skill is not one Microsoft ships, so you install it first.</t>
  </si>
  <si>
    <t>Install: Copilot pane &gt; Settings (…) &gt; Manage skills &gt; Custom skills &gt; Create OneDrive folder &gt; Open skills folder.</t>
  </si>
  <si>
    <t>In that folder, create a subfolder named exactly  variance-commentary  and save the text below inside it as  SKILL.md</t>
  </si>
  <si>
    <t>(The folder name must match the skill's name, or Copilot ignores it.) Then click Refresh on the Custom skills tab.</t>
  </si>
  <si>
    <t>---
name: variance-commentary
description: Use when I ask for a monthly variance analysis or budget-vs-actual commentary on a P&amp;L or department summary. Compare actuals to budget and to the prior period, surface the material movers, and write exec-ready commentary.
---
# Monthly variance commentary
When I point you at a P&amp;L or a department summary and ask for variance commentary, follow this process.
## Comparisons
- Compare actuals to budget for the period, and actuals to the prior period.
- Show both the dollar variance and the percent variance for each line.
## What to flag
- Only call out lines where the variance is greater than $10,000 or 5 percent, whichever is larger. Ignore immaterial movements.
- Rank the flagged lines from largest dollar impact to smallest.
## Commentary
- For each flagged line, write one sentence: the line, the size and direction of the variance, and the most likely driver the numbers suggest.
- Keep it plain and specific. No filler, and no "due to various factors."
- Close with a two-sentence read on the overall result for the period.
## Output
- Show the variance table first, then the written commentary beneath it.</t>
  </si>
  <si>
    <t>Then, on the P&amp;L Variance sheet, open Copilot and paste:</t>
  </si>
  <si>
    <t xml:space="preserve">     Run @variance-commentary on this P&amp;L.</t>
  </si>
  <si>
    <t>Check what it flags against the P&amp;L Variance (Key) sheet.</t>
  </si>
  <si>
    <t>Color legend (finance modeling convention)</t>
  </si>
  <si>
    <t>• Blue text = a hardcoded input or data point you can change.</t>
  </si>
  <si>
    <t>• Black text = a formula.</t>
  </si>
  <si>
    <t>• Green text = a link pulling from another sheet.</t>
  </si>
  <si>
    <t>• Yellow fill = a cell meant for you to fill in or edit.</t>
  </si>
  <si>
    <t>Requirements</t>
  </si>
  <si>
    <t>Skills need a Microsoft 365 Copilot license. Built-in finance skills are generally available across Excel for the web, Windows, and Mac. Custom skills rolled out to general availability through mid-2026; if you don't see the Custom skills tab, check the Insiders channel or your update status.</t>
  </si>
  <si>
    <t>Unit Economics — Inputs</t>
  </si>
  <si>
    <t>Subscription software business, monthly view. Select B6:C10 and run @unit-economics.</t>
  </si>
  <si>
    <t>Input</t>
  </si>
  <si>
    <t>Value</t>
  </si>
  <si>
    <t>Note</t>
  </si>
  <si>
    <t>New customers this month</t>
  </si>
  <si>
    <t>Customers acquired in the period</t>
  </si>
  <si>
    <t>Sales and marketing spend</t>
  </si>
  <si>
    <t>Total S&amp;M cost for the period</t>
  </si>
  <si>
    <t>Average revenue per customer (monthly)</t>
  </si>
  <si>
    <t>ARPU</t>
  </si>
  <si>
    <t>Gross margin</t>
  </si>
  <si>
    <t>Share of revenue left after cost to serve</t>
  </si>
  <si>
    <t>Monthly churn rate</t>
  </si>
  <si>
    <t>Share of customers lost each month</t>
  </si>
  <si>
    <t>Yellow cells are inputs you can change. Copilot will build the analysis when you run the skill.</t>
  </si>
  <si>
    <t>Unit Economics — Reference Calculation</t>
  </si>
  <si>
    <t>Live formulas off the Unit Economics inputs. Use this to check Copilot's output. Change an input and this updates too.</t>
  </si>
  <si>
    <t>Metric</t>
  </si>
  <si>
    <t>How it's calculated</t>
  </si>
  <si>
    <t>Customer acquisition cost (CAC)</t>
  </si>
  <si>
    <t>S&amp;M spend / new customers</t>
  </si>
  <si>
    <t>Gross profit per customer (monthly)</t>
  </si>
  <si>
    <t>ARPU x gross margin</t>
  </si>
  <si>
    <t>Average customer lifetime (months)</t>
  </si>
  <si>
    <t>1 / monthly churn</t>
  </si>
  <si>
    <t>Lifetime value (LTV)</t>
  </si>
  <si>
    <t>Monthly gross profit per customer x lifetime</t>
  </si>
  <si>
    <t>LTV to CAC ratio</t>
  </si>
  <si>
    <t>LTV / CAC (3.0x+ is generally healthy)</t>
  </si>
  <si>
    <t>CAC payback period (months)</t>
  </si>
  <si>
    <t>CAC / monthly gross profit per customer</t>
  </si>
  <si>
    <t>Monthly P&amp;L — Actual vs Budget vs Prior</t>
  </si>
  <si>
    <t>Figures in US dollars. Run @variance-commentary on this sheet.</t>
  </si>
  <si>
    <t>Line item</t>
  </si>
  <si>
    <t>Actual</t>
  </si>
  <si>
    <t>Budget</t>
  </si>
  <si>
    <t>Prior Month</t>
  </si>
  <si>
    <t>Revenue</t>
  </si>
  <si>
    <t>Cost of revenue</t>
  </si>
  <si>
    <t>Gross profit</t>
  </si>
  <si>
    <t>Operating expenses</t>
  </si>
  <si>
    <t xml:space="preserve">   Sales &amp; marketing</t>
  </si>
  <si>
    <t xml:space="preserve">   Research &amp; development</t>
  </si>
  <si>
    <t xml:space="preserve">   General &amp; administrative</t>
  </si>
  <si>
    <t xml:space="preserve">   Customer success</t>
  </si>
  <si>
    <t>Total operating expenses</t>
  </si>
  <si>
    <t>Operating income</t>
  </si>
  <si>
    <t>P&amp;L Variance — Reference Calculation</t>
  </si>
  <si>
    <t>Variances and a materiality flag (&gt; $10,000 or &gt; 5% vs budget). Use this to check which lines the skill should call out.</t>
  </si>
  <si>
    <t>$ vs Bud</t>
  </si>
  <si>
    <t>% vs Bud</t>
  </si>
  <si>
    <t>$ vs Prior</t>
  </si>
  <si>
    <t>% vs Prior</t>
  </si>
  <si>
    <t>Material?</t>
  </si>
  <si>
    <t>Sales &amp; marketing</t>
  </si>
  <si>
    <t>Research &amp; development</t>
  </si>
  <si>
    <t>General &amp; administrative</t>
  </si>
  <si>
    <t>Customer success</t>
  </si>
  <si>
    <t>Materiality is keyed to the variance vs budget, matching the skill's rule.</t>
  </si>
  <si>
    <t>Unit Economics — Copilot Analysis</t>
  </si>
  <si>
    <t>Live formulas based on the yellow input cells above; change the inputs and this section recalculates.</t>
  </si>
  <si>
    <t>Interpretation</t>
  </si>
  <si>
    <t>S&amp;M spend divided by new customers acquired.</t>
  </si>
  <si>
    <t>Monthly gross profit per customer</t>
  </si>
  <si>
    <t>Monthly ARPU multiplied by gross margin.</t>
  </si>
  <si>
    <t>Average customer lifetime</t>
  </si>
  <si>
    <t>Inverse of monthly churn rate.</t>
  </si>
  <si>
    <t>Monthly gross profit per customer multiplied by expected lifetime.</t>
  </si>
  <si>
    <t>Above 3.0x is generally healthy; above 5.0x is strong.</t>
  </si>
  <si>
    <t>CAC payback period</t>
  </si>
  <si>
    <t>Months required for gross profit to recover CAC.</t>
  </si>
  <si>
    <t>Health read</t>
  </si>
  <si>
    <t>Variance Commentary — Actual vs Budget vs Prior</t>
  </si>
  <si>
    <t>Materiality: flag budget variances greater than $10,000 or 5% of budget; table sorted by largest absolute budget variance.</t>
  </si>
  <si>
    <t>Abs $ vs Bud</t>
  </si>
  <si>
    <t>Commentary</t>
  </si>
  <si>
    <t>Total operating expenses were $55,000 over budget (+7.9%) and $50,000 above prior month (+7.1%), making expense growth the largest pressure point on the period.</t>
  </si>
  <si>
    <t>Revenue was $40,000 above budget (+3.3%) and $60,000 above prior month (+5.1%), showing stronger top-line activity than planned.</t>
  </si>
  <si>
    <t>Sales &amp; marketing was $40,000 over budget (+16.7%) and $30,000 above prior month (+12.0%), suggesting incremental acquisition or campaign spend drove most of the expense overrun.</t>
  </si>
  <si>
    <t>Gross profit was $34,000 above budget (+3.8%) and $49,000 above prior month (+5.5%), consistent with revenue upside more than offsetting cost of revenue growth.</t>
  </si>
  <si>
    <t>Operating income was $21,000 below budget (-10.2%) and $1,000 below prior month (-0.5%), as the expense overrun absorbed nearly all of the revenue and gross profit upside.</t>
  </si>
  <si>
    <t>General &amp; administrative was $15,000 over budget (+10.0%) and $13,000 above prior month (+8.6%), indicating overhead ran above plan.</t>
  </si>
  <si>
    <t>Overall, the month delivered healthy revenue and gross profit growth, but operating leverage did not flow through because operating expenses rose faster than plan. The main management focus is controlling sales &amp; marketing and G&amp;A spend so revenue upside converts into operating income.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</si>
</sst>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;&quot;($&quot;#,##0\)"/>
    <numFmt numFmtId="165" formatCode="0.0%;\(0.0%\)"/>
    <numFmt numFmtId="166" formatCode="0.0"/>
    <numFmt numFmtId="167" formatCode="0.0\x"/>
    <numFmt numFmtId="168" formatCode="&quot;$&quot;#,##0;\(&quot;$&quot;#,##0\);&quot;-&quot;"/>
    <numFmt numFmtId="169" formatCode="0.0&quot;x&quot;"/>
    <numFmt numFmtId="170" formatCode="&quot;$&quot;#,##0;\(&quot;$&quot;#,##0\)"/>
  </numFmts>
  <fonts count="26" x14ac:knownFonts="1">
    <font>
      <sz val="11"/>
      <color theme="1"/>
      <name val="Calibri"/>
      <family val="2"/>
      <charset val="1"/>
    </font>
    <font>
      <b/>
      <sz val="13"/>
      <color rgb="FFCF3338"/>
      <name val="Arial"/>
      <family val="2"/>
    </font>
    <font>
      <b/>
      <sz val="18"/>
      <color rgb="FF1F2120"/>
      <name val="Arial"/>
      <family val="2"/>
    </font>
    <font>
      <sz val="11"/>
      <color rgb="FF707070"/>
      <name val="Arial"/>
      <family val="2"/>
    </font>
    <font>
      <b/>
      <sz val="12"/>
      <color rgb="FFCF3338"/>
      <name val="Arial"/>
      <family val="2"/>
    </font>
    <font>
      <sz val="11"/>
      <color rgb="FF1F2120"/>
      <name val="Arial"/>
      <family val="2"/>
    </font>
    <font>
      <b/>
      <sz val="11"/>
      <color rgb="FF1F2120"/>
      <name val="Arial"/>
      <family val="2"/>
    </font>
    <font>
      <sz val="9"/>
      <color rgb="FF1F2120"/>
      <name val="Consolas"/>
      <family val="3"/>
    </font>
    <font>
      <b/>
      <sz val="16"/>
      <color rgb="FF1F2120"/>
      <name val="Arial"/>
      <family val="2"/>
    </font>
    <font>
      <sz val="10"/>
      <color rgb="FF707070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i/>
      <sz val="10"/>
      <color rgb="FF707070"/>
      <name val="Arial"/>
      <family val="2"/>
    </font>
    <font>
      <sz val="11"/>
      <color rgb="FF008000"/>
      <name val="Arial"/>
      <family val="2"/>
    </font>
    <font>
      <b/>
      <sz val="11"/>
      <color rgb="FFCF3338"/>
      <name val="Arial"/>
      <family val="2"/>
    </font>
    <font>
      <sz val="10"/>
      <color rgb="FF1F2120"/>
      <name val="Arial"/>
      <family val="2"/>
    </font>
    <font>
      <sz val="10"/>
      <color rgb="FF008000"/>
      <name val="Arial"/>
      <family val="2"/>
    </font>
    <font>
      <b/>
      <sz val="10"/>
      <color rgb="FF1F2120"/>
      <name val="Arial"/>
      <family val="2"/>
    </font>
    <font>
      <i/>
      <sz val="9"/>
      <color rgb="FF707070"/>
      <name val="Arial"/>
      <family val="2"/>
    </font>
    <font>
      <b/>
      <sz val="11"/>
      <color rgb="FFFFFFFF"/>
      <name val="Calibri"/>
      <family val="2"/>
      <charset val="1"/>
    </font>
    <font>
      <b/>
      <sz val="16"/>
      <color rgb="FFFFFFFF"/>
      <name val="Calibri"/>
      <family val="2"/>
      <charset val="1"/>
    </font>
    <font>
      <i/>
      <sz val="11"/>
      <color rgb="FF666666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1"/>
      <color rgb="FF333333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CF3338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4F9F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1F2120"/>
      </top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A6A6A6"/>
      </bottom>
      <diagonal/>
    </border>
    <border>
      <left/>
      <right/>
      <top/>
      <bottom style="thin">
        <color rgb="FFD9EAF7"/>
      </bottom>
      <diagonal/>
    </border>
    <border>
      <left/>
      <right/>
      <top style="thin">
        <color rgb="FFD9EAF7"/>
      </top>
      <bottom style="thin">
        <color rgb="FFD9EAF7"/>
      </bottom>
      <diagonal/>
    </border>
    <border>
      <left/>
      <right/>
      <top style="thin">
        <color rgb="FFD9EAF7"/>
      </top>
      <bottom style="thin">
        <color rgb="FF5B9BD5"/>
      </bottom>
      <diagonal/>
    </border>
    <border>
      <left/>
      <right/>
      <top/>
      <bottom style="thin">
        <color rgb="FFD9EAD3"/>
      </bottom>
      <diagonal/>
    </border>
    <border>
      <left/>
      <right/>
      <top style="thin">
        <color rgb="FFD9EAD3"/>
      </top>
      <bottom style="thin">
        <color rgb="FFD9EAD3"/>
      </bottom>
      <diagonal/>
    </border>
    <border>
      <left/>
      <right/>
      <top style="thin">
        <color rgb="FFD9EAD3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8" fillId="0" borderId="0" xfId="0" applyFont="1"/>
    <xf numFmtId="0" fontId="9" fillId="0" borderId="0" xfId="0" applyFont="1"/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/>
    </xf>
    <xf numFmtId="0" fontId="5" fillId="0" borderId="0" xfId="0" applyFont="1"/>
    <xf numFmtId="3" fontId="11" fillId="4" borderId="0" xfId="0" applyNumberFormat="1" applyFont="1" applyFill="1" applyAlignment="1">
      <alignment horizontal="right"/>
    </xf>
    <xf numFmtId="164" fontId="11" fillId="4" borderId="0" xfId="0" applyNumberFormat="1" applyFont="1" applyFill="1" applyAlignment="1">
      <alignment horizontal="right"/>
    </xf>
    <xf numFmtId="165" fontId="11" fillId="4" borderId="0" xfId="0" applyNumberFormat="1" applyFont="1" applyFill="1" applyAlignment="1">
      <alignment horizontal="right"/>
    </xf>
    <xf numFmtId="0" fontId="12" fillId="0" borderId="0" xfId="0" applyFont="1"/>
    <xf numFmtId="164" fontId="13" fillId="0" borderId="0" xfId="0" applyNumberFormat="1" applyFont="1" applyAlignment="1">
      <alignment horizontal="right"/>
    </xf>
    <xf numFmtId="166" fontId="13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4" fontId="11" fillId="0" borderId="0" xfId="0" applyNumberFormat="1" applyFont="1" applyAlignment="1">
      <alignment horizontal="right"/>
    </xf>
    <xf numFmtId="0" fontId="6" fillId="0" borderId="0" xfId="0" applyFont="1"/>
    <xf numFmtId="164" fontId="6" fillId="0" borderId="1" xfId="0" applyNumberFormat="1" applyFont="1" applyBorder="1" applyAlignment="1">
      <alignment horizontal="right"/>
    </xf>
    <xf numFmtId="0" fontId="14" fillId="0" borderId="0" xfId="0" applyFont="1"/>
    <xf numFmtId="0" fontId="10" fillId="3" borderId="0" xfId="0" applyFont="1" applyFill="1" applyAlignment="1">
      <alignment horizontal="center" vertical="center"/>
    </xf>
    <xf numFmtId="0" fontId="15" fillId="0" borderId="0" xfId="0" applyFont="1"/>
    <xf numFmtId="164" fontId="16" fillId="0" borderId="0" xfId="0" applyNumberFormat="1" applyFont="1" applyAlignment="1">
      <alignment horizontal="right"/>
    </xf>
    <xf numFmtId="164" fontId="15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0" fontId="17" fillId="0" borderId="0" xfId="0" applyFont="1" applyAlignment="1">
      <alignment horizontal="center"/>
    </xf>
    <xf numFmtId="0" fontId="18" fillId="0" borderId="0" xfId="0" applyFont="1"/>
    <xf numFmtId="0" fontId="19" fillId="5" borderId="0" xfId="0" applyFont="1" applyFill="1"/>
    <xf numFmtId="0" fontId="20" fillId="5" borderId="0" xfId="0" applyFont="1" applyFill="1"/>
    <xf numFmtId="0" fontId="21" fillId="0" borderId="0" xfId="0" applyFont="1" applyAlignment="1">
      <alignment wrapText="1"/>
    </xf>
    <xf numFmtId="0" fontId="23" fillId="7" borderId="0" xfId="0" applyFont="1" applyFill="1" applyAlignment="1">
      <alignment wrapText="1"/>
    </xf>
    <xf numFmtId="0" fontId="22" fillId="6" borderId="0" xfId="0" applyFont="1" applyFill="1" applyBorder="1" applyAlignment="1">
      <alignment horizontal="center"/>
    </xf>
    <xf numFmtId="0" fontId="23" fillId="0" borderId="2" xfId="0" applyFont="1" applyBorder="1"/>
    <xf numFmtId="0" fontId="23" fillId="0" borderId="3" xfId="0" applyFont="1" applyBorder="1"/>
    <xf numFmtId="0" fontId="23" fillId="0" borderId="4" xfId="0" applyFont="1" applyBorder="1"/>
    <xf numFmtId="168" fontId="23" fillId="0" borderId="2" xfId="0" applyNumberFormat="1" applyFont="1" applyBorder="1"/>
    <xf numFmtId="168" fontId="23" fillId="0" borderId="3" xfId="0" applyNumberFormat="1" applyFont="1" applyBorder="1"/>
    <xf numFmtId="166" fontId="23" fillId="0" borderId="3" xfId="0" applyNumberFormat="1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168" fontId="22" fillId="8" borderId="3" xfId="0" applyNumberFormat="1" applyFont="1" applyFill="1" applyBorder="1"/>
    <xf numFmtId="169" fontId="22" fillId="8" borderId="3" xfId="0" applyNumberFormat="1" applyFont="1" applyFill="1" applyBorder="1"/>
    <xf numFmtId="166" fontId="22" fillId="8" borderId="4" xfId="0" applyNumberFormat="1" applyFont="1" applyFill="1" applyBorder="1"/>
    <xf numFmtId="0" fontId="20" fillId="9" borderId="0" xfId="0" applyFont="1" applyFill="1" applyAlignment="1">
      <alignment horizontal="left"/>
    </xf>
    <xf numFmtId="0" fontId="19" fillId="10" borderId="5" xfId="0" applyFont="1" applyFill="1" applyBorder="1" applyAlignment="1">
      <alignment horizontal="center"/>
    </xf>
    <xf numFmtId="170" fontId="0" fillId="0" borderId="6" xfId="0" applyNumberFormat="1" applyBorder="1" applyAlignment="1">
      <alignment horizontal="right"/>
    </xf>
    <xf numFmtId="165" fontId="0" fillId="0" borderId="6" xfId="0" applyNumberFormat="1" applyBorder="1" applyAlignment="1">
      <alignment horizontal="right"/>
    </xf>
    <xf numFmtId="170" fontId="0" fillId="0" borderId="7" xfId="0" applyNumberFormat="1" applyBorder="1" applyAlignment="1">
      <alignment horizontal="right"/>
    </xf>
    <xf numFmtId="165" fontId="0" fillId="0" borderId="7" xfId="0" applyNumberFormat="1" applyBorder="1" applyAlignment="1">
      <alignment horizontal="righ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24" fillId="11" borderId="0" xfId="0" applyFont="1" applyFill="1"/>
    <xf numFmtId="0" fontId="25" fillId="12" borderId="8" xfId="0" applyFont="1" applyFill="1" applyBorder="1" applyAlignment="1">
      <alignment vertical="top" wrapText="1"/>
    </xf>
    <xf numFmtId="0" fontId="25" fillId="12" borderId="9" xfId="0" applyFont="1" applyFill="1" applyBorder="1" applyAlignment="1">
      <alignment vertical="top" wrapText="1"/>
    </xf>
    <xf numFmtId="0" fontId="25" fillId="12" borderId="10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7070"/>
      <rgbColor rgb="FF9999FF"/>
      <rgbColor rgb="FFCF3338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1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9"/>
  <sheetViews>
    <sheetView showGridLines="0" zoomScaleNormal="100" workbookViewId="0"/>
  </sheetViews>
  <sheetFormatPr defaultColWidth="8.6640625" defaultRowHeight="14.25" x14ac:dyDescent="0.45"/>
  <cols>
    <col min="1" max="1" width="4" customWidth="1"/>
    <col min="2" max="2" width="110" customWidth="1"/>
  </cols>
  <sheetData>
    <row r="1" spans="2:2" ht="16.899999999999999" x14ac:dyDescent="0.5">
      <c r="B1" s="1" t="s">
        <v>0</v>
      </c>
    </row>
    <row r="2" spans="2:2" ht="22.5" x14ac:dyDescent="0.6">
      <c r="B2" s="2" t="s">
        <v>1</v>
      </c>
    </row>
    <row r="3" spans="2:2" x14ac:dyDescent="0.45">
      <c r="B3" s="3" t="s">
        <v>2</v>
      </c>
    </row>
    <row r="5" spans="2:2" ht="15.4" x14ac:dyDescent="0.45">
      <c r="B5" s="4" t="s">
        <v>3</v>
      </c>
    </row>
    <row r="6" spans="2:2" x14ac:dyDescent="0.45">
      <c r="B6" s="5" t="s">
        <v>4</v>
      </c>
    </row>
    <row r="7" spans="2:2" x14ac:dyDescent="0.45">
      <c r="B7" s="5" t="s">
        <v>5</v>
      </c>
    </row>
    <row r="8" spans="2:2" x14ac:dyDescent="0.45">
      <c r="B8" s="5" t="s">
        <v>6</v>
      </c>
    </row>
    <row r="9" spans="2:2" x14ac:dyDescent="0.45">
      <c r="B9" s="5" t="s">
        <v>7</v>
      </c>
    </row>
    <row r="11" spans="2:2" x14ac:dyDescent="0.45">
      <c r="B11" s="6" t="s">
        <v>8</v>
      </c>
    </row>
    <row r="13" spans="2:2" ht="15.4" x14ac:dyDescent="0.45">
      <c r="B13" s="4" t="s">
        <v>9</v>
      </c>
    </row>
    <row r="14" spans="2:2" x14ac:dyDescent="0.45">
      <c r="B14" s="5" t="s">
        <v>10</v>
      </c>
    </row>
    <row r="15" spans="2:2" x14ac:dyDescent="0.45">
      <c r="B15" s="5" t="s">
        <v>11</v>
      </c>
    </row>
    <row r="16" spans="2:2" ht="27.75" x14ac:dyDescent="0.45">
      <c r="B16" s="7" t="s">
        <v>12</v>
      </c>
    </row>
    <row r="17" spans="2:2" x14ac:dyDescent="0.45">
      <c r="B17" s="5" t="s">
        <v>13</v>
      </c>
    </row>
    <row r="18" spans="2:2" x14ac:dyDescent="0.45">
      <c r="B18" s="5" t="s">
        <v>14</v>
      </c>
    </row>
    <row r="20" spans="2:2" ht="15.4" x14ac:dyDescent="0.45">
      <c r="B20" s="4" t="s">
        <v>15</v>
      </c>
    </row>
    <row r="21" spans="2:2" x14ac:dyDescent="0.45">
      <c r="B21" s="5" t="s">
        <v>16</v>
      </c>
    </row>
    <row r="22" spans="2:2" x14ac:dyDescent="0.45">
      <c r="B22" s="5" t="s">
        <v>17</v>
      </c>
    </row>
    <row r="23" spans="2:2" x14ac:dyDescent="0.45">
      <c r="B23" s="5" t="s">
        <v>18</v>
      </c>
    </row>
    <row r="24" spans="2:2" x14ac:dyDescent="0.45">
      <c r="B24" s="6" t="s">
        <v>19</v>
      </c>
    </row>
    <row r="26" spans="2:2" ht="300" customHeight="1" x14ac:dyDescent="0.45">
      <c r="B26" s="8" t="s">
        <v>20</v>
      </c>
    </row>
    <row r="28" spans="2:2" x14ac:dyDescent="0.45">
      <c r="B28" s="5" t="s">
        <v>21</v>
      </c>
    </row>
    <row r="29" spans="2:2" x14ac:dyDescent="0.45">
      <c r="B29" s="7" t="s">
        <v>22</v>
      </c>
    </row>
    <row r="30" spans="2:2" x14ac:dyDescent="0.45">
      <c r="B30" s="5" t="s">
        <v>23</v>
      </c>
    </row>
    <row r="32" spans="2:2" ht="15.4" x14ac:dyDescent="0.45">
      <c r="B32" s="4" t="s">
        <v>24</v>
      </c>
    </row>
    <row r="33" spans="2:2" x14ac:dyDescent="0.45">
      <c r="B33" s="5" t="s">
        <v>25</v>
      </c>
    </row>
    <row r="34" spans="2:2" x14ac:dyDescent="0.45">
      <c r="B34" s="5" t="s">
        <v>26</v>
      </c>
    </row>
    <row r="35" spans="2:2" x14ac:dyDescent="0.45">
      <c r="B35" s="5" t="s">
        <v>27</v>
      </c>
    </row>
    <row r="36" spans="2:2" x14ac:dyDescent="0.45">
      <c r="B36" s="5" t="s">
        <v>28</v>
      </c>
    </row>
    <row r="38" spans="2:2" ht="15.4" x14ac:dyDescent="0.45">
      <c r="B38" s="4" t="s">
        <v>29</v>
      </c>
    </row>
    <row r="39" spans="2:2" ht="40.5" x14ac:dyDescent="0.45">
      <c r="B39" s="6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7"/>
  <sheetViews>
    <sheetView showGridLines="0" topLeftCell="A4" zoomScale="130" zoomScaleNormal="130" workbookViewId="0">
      <selection activeCell="B4" sqref="B4"/>
    </sheetView>
  </sheetViews>
  <sheetFormatPr defaultColWidth="8.6640625" defaultRowHeight="14.25" x14ac:dyDescent="0.45"/>
  <cols>
    <col min="1" max="1" width="3" customWidth="1"/>
    <col min="2" max="2" width="37.33203125" customWidth="1"/>
    <col min="3" max="3" width="8.86328125" bestFit="1" customWidth="1"/>
    <col min="4" max="4" width="48" customWidth="1"/>
  </cols>
  <sheetData>
    <row r="2" spans="2:4" ht="20.65" x14ac:dyDescent="0.6">
      <c r="B2" s="9" t="s">
        <v>31</v>
      </c>
    </row>
    <row r="3" spans="2:4" x14ac:dyDescent="0.45">
      <c r="B3" s="10" t="s">
        <v>32</v>
      </c>
    </row>
    <row r="5" spans="2:4" x14ac:dyDescent="0.45">
      <c r="B5" s="11" t="s">
        <v>33</v>
      </c>
      <c r="C5" s="12" t="s">
        <v>34</v>
      </c>
      <c r="D5" s="11" t="s">
        <v>35</v>
      </c>
    </row>
    <row r="6" spans="2:4" x14ac:dyDescent="0.45">
      <c r="B6" s="13" t="s">
        <v>36</v>
      </c>
      <c r="C6" s="14">
        <v>500</v>
      </c>
      <c r="D6" s="10" t="s">
        <v>37</v>
      </c>
    </row>
    <row r="7" spans="2:4" x14ac:dyDescent="0.45">
      <c r="B7" s="13" t="s">
        <v>38</v>
      </c>
      <c r="C7" s="15">
        <v>150000</v>
      </c>
      <c r="D7" s="10" t="s">
        <v>39</v>
      </c>
    </row>
    <row r="8" spans="2:4" x14ac:dyDescent="0.45">
      <c r="B8" s="13" t="s">
        <v>40</v>
      </c>
      <c r="C8" s="15">
        <v>80</v>
      </c>
      <c r="D8" s="10" t="s">
        <v>41</v>
      </c>
    </row>
    <row r="9" spans="2:4" x14ac:dyDescent="0.45">
      <c r="B9" s="13" t="s">
        <v>42</v>
      </c>
      <c r="C9" s="16">
        <v>0.75</v>
      </c>
      <c r="D9" s="10" t="s">
        <v>43</v>
      </c>
    </row>
    <row r="10" spans="2:4" x14ac:dyDescent="0.45">
      <c r="B10" s="13" t="s">
        <v>44</v>
      </c>
      <c r="C10" s="16">
        <v>0.04</v>
      </c>
      <c r="D10" s="10" t="s">
        <v>45</v>
      </c>
    </row>
    <row r="12" spans="2:4" x14ac:dyDescent="0.45">
      <c r="B12" s="17" t="s">
        <v>46</v>
      </c>
    </row>
    <row r="14" spans="2:4" ht="21" x14ac:dyDescent="0.65">
      <c r="B14" s="35" t="s">
        <v>91</v>
      </c>
      <c r="C14" s="35"/>
      <c r="D14" s="35"/>
    </row>
    <row r="15" spans="2:4" x14ac:dyDescent="0.45">
      <c r="B15" s="36" t="s">
        <v>92</v>
      </c>
      <c r="C15" s="36"/>
      <c r="D15" s="36"/>
    </row>
    <row r="17" spans="2:4" x14ac:dyDescent="0.45">
      <c r="B17" s="38" t="s">
        <v>49</v>
      </c>
      <c r="C17" s="38" t="s">
        <v>34</v>
      </c>
      <c r="D17" s="38" t="s">
        <v>93</v>
      </c>
    </row>
    <row r="18" spans="2:4" x14ac:dyDescent="0.45">
      <c r="B18" s="39" t="s">
        <v>51</v>
      </c>
      <c r="C18" s="42">
        <f>C7/C6</f>
        <v>300</v>
      </c>
      <c r="D18" s="45" t="s">
        <v>94</v>
      </c>
    </row>
    <row r="19" spans="2:4" x14ac:dyDescent="0.45">
      <c r="B19" s="40" t="s">
        <v>95</v>
      </c>
      <c r="C19" s="43">
        <f>C8*C9</f>
        <v>60</v>
      </c>
      <c r="D19" s="46" t="s">
        <v>96</v>
      </c>
    </row>
    <row r="20" spans="2:4" x14ac:dyDescent="0.45">
      <c r="B20" s="40" t="s">
        <v>97</v>
      </c>
      <c r="C20" s="44">
        <f>1/C10</f>
        <v>25</v>
      </c>
      <c r="D20" s="46" t="s">
        <v>98</v>
      </c>
    </row>
    <row r="21" spans="2:4" ht="28.5" x14ac:dyDescent="0.45">
      <c r="B21" s="40" t="s">
        <v>57</v>
      </c>
      <c r="C21" s="48">
        <f>C8*C9/C10</f>
        <v>1500</v>
      </c>
      <c r="D21" s="46" t="s">
        <v>99</v>
      </c>
    </row>
    <row r="22" spans="2:4" x14ac:dyDescent="0.45">
      <c r="B22" s="40" t="s">
        <v>59</v>
      </c>
      <c r="C22" s="49">
        <f>(C8*C9/C10)/(C7/C6)</f>
        <v>5</v>
      </c>
      <c r="D22" s="46" t="s">
        <v>100</v>
      </c>
    </row>
    <row r="23" spans="2:4" x14ac:dyDescent="0.45">
      <c r="B23" s="41" t="s">
        <v>101</v>
      </c>
      <c r="C23" s="50">
        <f>(C7/C6)/(C8*C9)</f>
        <v>5</v>
      </c>
      <c r="D23" s="47" t="s">
        <v>102</v>
      </c>
    </row>
    <row r="25" spans="2:4" x14ac:dyDescent="0.45">
      <c r="B25" s="34" t="s">
        <v>103</v>
      </c>
      <c r="C25" s="34"/>
      <c r="D25" s="34"/>
    </row>
    <row r="26" spans="2:4" x14ac:dyDescent="0.45">
      <c r="B26" s="37" t="str">
        <f>IF(C22&gt;=3,"Healthy: LTV:CAC is "&amp;TEXT(C22,"0.0x")&amp;", above the 3.0x SaaS benchmark, and CAC payback is "&amp;TEXT(C23,"0.0")&amp;" months. The combination of $"&amp;TEXT(C18,"#,##0")&amp;" CAC, $"&amp;TEXT(C21,"#,##0")&amp;" LTV, and "&amp;TEXT(C10,"0.0%")&amp;" monthly churn points to attractive unit economics, assuming churn and acquisition efficiency hold.","Needs attention: LTV:CAC is "&amp;TEXT(C22,"0.0x")&amp;", below the 3.0x SaaS benchmark. Improve retention, ARPU, gross margin, or acquisition efficiency before scaling spend.")</f>
        <v>Healthy: LTV:CAC is 5.0x, above the 3.0x SaaS benchmark, and CAC payback is 5.0 months. The combination of $300 CAC, $1,500 LTV, and 4.0% monthly churn points to attractive unit economics, assuming churn and acquisition efficiency hold.</v>
      </c>
      <c r="C26" s="37"/>
      <c r="D26" s="37"/>
    </row>
    <row r="27" spans="2:4" x14ac:dyDescent="0.45">
      <c r="B27" s="37"/>
      <c r="C27" s="37"/>
      <c r="D27" s="37"/>
    </row>
  </sheetData>
  <mergeCells count="4">
    <mergeCell ref="B14:D14"/>
    <mergeCell ref="B15:D15"/>
    <mergeCell ref="B25:D25"/>
    <mergeCell ref="B26:D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1"/>
  <sheetViews>
    <sheetView showGridLines="0" zoomScaleNormal="100" workbookViewId="0"/>
  </sheetViews>
  <sheetFormatPr defaultColWidth="8.6640625" defaultRowHeight="14.25" x14ac:dyDescent="0.45"/>
  <cols>
    <col min="1" max="1" width="3" customWidth="1"/>
    <col min="2" max="2" width="42" customWidth="1"/>
    <col min="3" max="3" width="16" customWidth="1"/>
    <col min="4" max="4" width="50" customWidth="1"/>
  </cols>
  <sheetData>
    <row r="2" spans="2:4" ht="20.65" x14ac:dyDescent="0.6">
      <c r="B2" s="9" t="s">
        <v>47</v>
      </c>
    </row>
    <row r="3" spans="2:4" x14ac:dyDescent="0.45">
      <c r="B3" s="10" t="s">
        <v>48</v>
      </c>
    </row>
    <row r="5" spans="2:4" x14ac:dyDescent="0.45">
      <c r="B5" s="11" t="s">
        <v>49</v>
      </c>
      <c r="C5" s="12" t="s">
        <v>34</v>
      </c>
      <c r="D5" s="11" t="s">
        <v>50</v>
      </c>
    </row>
    <row r="6" spans="2:4" x14ac:dyDescent="0.45">
      <c r="B6" s="13" t="s">
        <v>51</v>
      </c>
      <c r="C6" s="18">
        <f>'Unit Economics'!C7/'Unit Economics'!C6</f>
        <v>300</v>
      </c>
      <c r="D6" s="10" t="s">
        <v>52</v>
      </c>
    </row>
    <row r="7" spans="2:4" x14ac:dyDescent="0.45">
      <c r="B7" s="13" t="s">
        <v>53</v>
      </c>
      <c r="C7" s="18">
        <f>'Unit Economics'!C8*'Unit Economics'!C9</f>
        <v>60</v>
      </c>
      <c r="D7" s="10" t="s">
        <v>54</v>
      </c>
    </row>
    <row r="8" spans="2:4" x14ac:dyDescent="0.45">
      <c r="B8" s="13" t="s">
        <v>55</v>
      </c>
      <c r="C8" s="19">
        <f>IFERROR(1/'Unit Economics'!C10,"")</f>
        <v>25</v>
      </c>
      <c r="D8" s="10" t="s">
        <v>56</v>
      </c>
    </row>
    <row r="9" spans="2:4" x14ac:dyDescent="0.45">
      <c r="B9" s="13" t="s">
        <v>57</v>
      </c>
      <c r="C9" s="20">
        <f>C7*C8</f>
        <v>1500</v>
      </c>
      <c r="D9" s="10" t="s">
        <v>58</v>
      </c>
    </row>
    <row r="10" spans="2:4" x14ac:dyDescent="0.45">
      <c r="B10" s="13" t="s">
        <v>59</v>
      </c>
      <c r="C10" s="21">
        <f>IFERROR(C9/C6,"")</f>
        <v>5</v>
      </c>
      <c r="D10" s="10" t="s">
        <v>60</v>
      </c>
    </row>
    <row r="11" spans="2:4" x14ac:dyDescent="0.45">
      <c r="B11" s="13" t="s">
        <v>61</v>
      </c>
      <c r="C11" s="22">
        <f>IFERROR(C6/C7,"")</f>
        <v>5</v>
      </c>
      <c r="D11" s="10" t="s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23"/>
  <sheetViews>
    <sheetView showGridLines="0" tabSelected="1" topLeftCell="F1" zoomScaleNormal="100" workbookViewId="0"/>
  </sheetViews>
  <sheetFormatPr defaultColWidth="8.6640625" defaultRowHeight="14.25" x14ac:dyDescent="0.45"/>
  <cols>
    <col min="1" max="1" width="3" customWidth="1"/>
    <col min="2" max="2" width="58.53125" bestFit="1" customWidth="1"/>
    <col min="3" max="4" width="10.33203125" bestFit="1" customWidth="1"/>
    <col min="5" max="5" width="11.6640625" bestFit="1" customWidth="1"/>
    <col min="7" max="7" width="30.19921875" customWidth="1"/>
    <col min="8" max="14" width="14.19921875" customWidth="1"/>
    <col min="15" max="15" width="10.6640625" bestFit="1" customWidth="1"/>
  </cols>
  <sheetData>
    <row r="2" spans="2:15" ht="21" x14ac:dyDescent="0.65">
      <c r="B2" s="9" t="s">
        <v>63</v>
      </c>
      <c r="G2" s="51" t="s">
        <v>104</v>
      </c>
      <c r="H2" s="51"/>
      <c r="I2" s="51"/>
      <c r="J2" s="51"/>
      <c r="K2" s="51"/>
      <c r="L2" s="51"/>
      <c r="M2" s="51"/>
      <c r="N2" s="51"/>
    </row>
    <row r="3" spans="2:15" ht="30" customHeight="1" x14ac:dyDescent="0.45">
      <c r="B3" s="10" t="s">
        <v>64</v>
      </c>
      <c r="G3" s="36" t="s">
        <v>105</v>
      </c>
      <c r="H3" s="36"/>
      <c r="I3" s="36"/>
      <c r="J3" s="36"/>
      <c r="K3" s="36"/>
      <c r="L3" s="36"/>
      <c r="M3" s="36"/>
      <c r="N3" s="36"/>
    </row>
    <row r="5" spans="2:15" x14ac:dyDescent="0.45">
      <c r="B5" s="11" t="s">
        <v>65</v>
      </c>
      <c r="C5" s="12" t="s">
        <v>66</v>
      </c>
      <c r="D5" s="12" t="s">
        <v>67</v>
      </c>
      <c r="E5" s="12" t="s">
        <v>68</v>
      </c>
      <c r="G5" s="52" t="s">
        <v>65</v>
      </c>
      <c r="H5" s="52" t="s">
        <v>66</v>
      </c>
      <c r="I5" s="52" t="s">
        <v>67</v>
      </c>
      <c r="J5" s="52" t="s">
        <v>81</v>
      </c>
      <c r="K5" s="52" t="s">
        <v>82</v>
      </c>
      <c r="L5" s="52" t="s">
        <v>68</v>
      </c>
      <c r="M5" s="52" t="s">
        <v>83</v>
      </c>
      <c r="N5" s="52" t="s">
        <v>84</v>
      </c>
      <c r="O5" t="s">
        <v>106</v>
      </c>
    </row>
    <row r="6" spans="2:15" x14ac:dyDescent="0.45">
      <c r="B6" s="13" t="s">
        <v>69</v>
      </c>
      <c r="C6" s="23">
        <v>1240000</v>
      </c>
      <c r="D6" s="23">
        <v>1200000</v>
      </c>
      <c r="E6" s="23">
        <v>1180000</v>
      </c>
      <c r="G6" s="57" t="str">
        <f>TRIM($B$15)</f>
        <v>Total operating expenses</v>
      </c>
      <c r="H6" s="53">
        <f>$C$15</f>
        <v>750000</v>
      </c>
      <c r="I6" s="53">
        <f>$D$15</f>
        <v>695000</v>
      </c>
      <c r="J6" s="53">
        <f>H6-I6</f>
        <v>55000</v>
      </c>
      <c r="K6" s="54">
        <f>IFERROR(J6/I6,0)</f>
        <v>7.9136690647482008E-2</v>
      </c>
      <c r="L6" s="53">
        <f>$E$15</f>
        <v>700000</v>
      </c>
      <c r="M6" s="53">
        <f>H6-L6</f>
        <v>50000</v>
      </c>
      <c r="N6" s="54">
        <f>IFERROR(M6/L6,0)</f>
        <v>7.1428571428571425E-2</v>
      </c>
      <c r="O6">
        <f>ABS(J6)</f>
        <v>55000</v>
      </c>
    </row>
    <row r="7" spans="2:15" x14ac:dyDescent="0.45">
      <c r="B7" s="13" t="s">
        <v>70</v>
      </c>
      <c r="C7" s="23">
        <v>306000</v>
      </c>
      <c r="D7" s="23">
        <v>300000</v>
      </c>
      <c r="E7" s="23">
        <v>295000</v>
      </c>
      <c r="G7" s="57" t="str">
        <f>TRIM($B$6)</f>
        <v>Revenue</v>
      </c>
      <c r="H7" s="53">
        <f>$C$6</f>
        <v>1240000</v>
      </c>
      <c r="I7" s="53">
        <f>$D$6</f>
        <v>1200000</v>
      </c>
      <c r="J7" s="53">
        <f>H7-I7</f>
        <v>40000</v>
      </c>
      <c r="K7" s="54">
        <f>IFERROR(J7/I7,0)</f>
        <v>3.3333333333333333E-2</v>
      </c>
      <c r="L7" s="53">
        <f>$E$6</f>
        <v>1180000</v>
      </c>
      <c r="M7" s="53">
        <f>H7-L7</f>
        <v>60000</v>
      </c>
      <c r="N7" s="54">
        <f>IFERROR(M7/L7,0)</f>
        <v>5.0847457627118647E-2</v>
      </c>
      <c r="O7">
        <f>ABS(J7)</f>
        <v>40000</v>
      </c>
    </row>
    <row r="8" spans="2:15" x14ac:dyDescent="0.45">
      <c r="B8" s="24" t="s">
        <v>71</v>
      </c>
      <c r="C8" s="25">
        <f>C6-C7</f>
        <v>934000</v>
      </c>
      <c r="D8" s="25">
        <f>D6-D7</f>
        <v>900000</v>
      </c>
      <c r="E8" s="25">
        <f>E6-E7</f>
        <v>885000</v>
      </c>
      <c r="G8" s="57" t="str">
        <f>TRIM($B$11)</f>
        <v>Sales &amp; marketing</v>
      </c>
      <c r="H8" s="53">
        <f>$C$11</f>
        <v>280000</v>
      </c>
      <c r="I8" s="53">
        <f>$D$11</f>
        <v>240000</v>
      </c>
      <c r="J8" s="53">
        <f>H8-I8</f>
        <v>40000</v>
      </c>
      <c r="K8" s="54">
        <f>IFERROR(J8/I8,0)</f>
        <v>0.16666666666666666</v>
      </c>
      <c r="L8" s="53">
        <f>$E$11</f>
        <v>250000</v>
      </c>
      <c r="M8" s="53">
        <f>H8-L8</f>
        <v>30000</v>
      </c>
      <c r="N8" s="54">
        <f>IFERROR(M8/L8,0)</f>
        <v>0.12</v>
      </c>
      <c r="O8">
        <f>ABS(J8)</f>
        <v>40000</v>
      </c>
    </row>
    <row r="9" spans="2:15" x14ac:dyDescent="0.45">
      <c r="G9" s="57" t="str">
        <f>TRIM($B$8)</f>
        <v>Gross profit</v>
      </c>
      <c r="H9" s="53">
        <f>$C$8</f>
        <v>934000</v>
      </c>
      <c r="I9" s="53">
        <f>$D$8</f>
        <v>900000</v>
      </c>
      <c r="J9" s="53">
        <f>H9-I9</f>
        <v>34000</v>
      </c>
      <c r="K9" s="54">
        <f>IFERROR(J9/I9,0)</f>
        <v>3.7777777777777778E-2</v>
      </c>
      <c r="L9" s="53">
        <f>$E$8</f>
        <v>885000</v>
      </c>
      <c r="M9" s="53">
        <f>H9-L9</f>
        <v>49000</v>
      </c>
      <c r="N9" s="54">
        <f>IFERROR(M9/L9,0)</f>
        <v>5.5367231638418078E-2</v>
      </c>
      <c r="O9">
        <f>ABS(J9)</f>
        <v>34000</v>
      </c>
    </row>
    <row r="10" spans="2:15" x14ac:dyDescent="0.45">
      <c r="B10" s="26" t="s">
        <v>72</v>
      </c>
      <c r="G10" s="57" t="str">
        <f>TRIM($B$17)</f>
        <v>Operating income</v>
      </c>
      <c r="H10" s="53">
        <f>$C$17</f>
        <v>184000</v>
      </c>
      <c r="I10" s="53">
        <f>$D$17</f>
        <v>205000</v>
      </c>
      <c r="J10" s="53">
        <f>H10-I10</f>
        <v>-21000</v>
      </c>
      <c r="K10" s="54">
        <f>IFERROR(J10/I10,0)</f>
        <v>-0.1024390243902439</v>
      </c>
      <c r="L10" s="53">
        <f>$E$17</f>
        <v>185000</v>
      </c>
      <c r="M10" s="53">
        <f>H10-L10</f>
        <v>-1000</v>
      </c>
      <c r="N10" s="54">
        <f>IFERROR(M10/L10,0)</f>
        <v>-5.4054054054054057E-3</v>
      </c>
      <c r="O10">
        <f>ABS(J10)</f>
        <v>21000</v>
      </c>
    </row>
    <row r="11" spans="2:15" x14ac:dyDescent="0.45">
      <c r="B11" s="13" t="s">
        <v>73</v>
      </c>
      <c r="C11" s="23">
        <v>280000</v>
      </c>
      <c r="D11" s="23">
        <v>240000</v>
      </c>
      <c r="E11" s="23">
        <v>250000</v>
      </c>
      <c r="G11" s="57" t="str">
        <f>TRIM($B$13)</f>
        <v>General &amp; administrative</v>
      </c>
      <c r="H11" s="53">
        <f>$C$13</f>
        <v>165000</v>
      </c>
      <c r="I11" s="53">
        <f>$D$13</f>
        <v>150000</v>
      </c>
      <c r="J11" s="53">
        <f>H11-I11</f>
        <v>15000</v>
      </c>
      <c r="K11" s="54">
        <f>IFERROR(J11/I11,0)</f>
        <v>0.1</v>
      </c>
      <c r="L11" s="53">
        <f>$E$13</f>
        <v>152000</v>
      </c>
      <c r="M11" s="53">
        <f>H11-L11</f>
        <v>13000</v>
      </c>
      <c r="N11" s="54">
        <f>IFERROR(M11/L11,0)</f>
        <v>8.5526315789473686E-2</v>
      </c>
      <c r="O11">
        <f>ABS(J11)</f>
        <v>15000</v>
      </c>
    </row>
    <row r="12" spans="2:15" x14ac:dyDescent="0.45">
      <c r="B12" s="13" t="s">
        <v>74</v>
      </c>
      <c r="C12" s="23">
        <v>210000</v>
      </c>
      <c r="D12" s="23">
        <v>205000</v>
      </c>
      <c r="E12" s="23">
        <v>200000</v>
      </c>
      <c r="G12" s="57" t="str">
        <f>TRIM($B$7)</f>
        <v>Cost of revenue</v>
      </c>
      <c r="H12" s="53">
        <f>$C$7</f>
        <v>306000</v>
      </c>
      <c r="I12" s="53">
        <f>$D$7</f>
        <v>300000</v>
      </c>
      <c r="J12" s="53">
        <f>H12-I12</f>
        <v>6000</v>
      </c>
      <c r="K12" s="54">
        <f>IFERROR(J12/I12,0)</f>
        <v>0.02</v>
      </c>
      <c r="L12" s="53">
        <f>$E$7</f>
        <v>295000</v>
      </c>
      <c r="M12" s="53">
        <f>H12-L12</f>
        <v>11000</v>
      </c>
      <c r="N12" s="54">
        <f>IFERROR(M12/L12,0)</f>
        <v>3.7288135593220341E-2</v>
      </c>
      <c r="O12">
        <f>ABS(J12)</f>
        <v>6000</v>
      </c>
    </row>
    <row r="13" spans="2:15" x14ac:dyDescent="0.45">
      <c r="B13" s="13" t="s">
        <v>75</v>
      </c>
      <c r="C13" s="23">
        <v>165000</v>
      </c>
      <c r="D13" s="23">
        <v>150000</v>
      </c>
      <c r="E13" s="23">
        <v>152000</v>
      </c>
      <c r="G13" s="57" t="str">
        <f>TRIM($B$12)</f>
        <v>Research &amp; development</v>
      </c>
      <c r="H13" s="53">
        <f>$C$12</f>
        <v>210000</v>
      </c>
      <c r="I13" s="53">
        <f>$D$12</f>
        <v>205000</v>
      </c>
      <c r="J13" s="53">
        <f>H13-I13</f>
        <v>5000</v>
      </c>
      <c r="K13" s="54">
        <f>IFERROR(J13/I13,0)</f>
        <v>2.4390243902439025E-2</v>
      </c>
      <c r="L13" s="53">
        <f>$E$12</f>
        <v>200000</v>
      </c>
      <c r="M13" s="53">
        <f>H13-L13</f>
        <v>10000</v>
      </c>
      <c r="N13" s="54">
        <f>IFERROR(M13/L13,0)</f>
        <v>0.05</v>
      </c>
      <c r="O13">
        <f>ABS(J13)</f>
        <v>5000</v>
      </c>
    </row>
    <row r="14" spans="2:15" x14ac:dyDescent="0.45">
      <c r="B14" s="13" t="s">
        <v>76</v>
      </c>
      <c r="C14" s="23">
        <v>95000</v>
      </c>
      <c r="D14" s="23">
        <v>100000</v>
      </c>
      <c r="E14" s="23">
        <v>98000</v>
      </c>
      <c r="G14" s="58" t="str">
        <f>TRIM($B$14)</f>
        <v>Customer success</v>
      </c>
      <c r="H14" s="55">
        <f>$C$14</f>
        <v>95000</v>
      </c>
      <c r="I14" s="55">
        <f>$D$14</f>
        <v>100000</v>
      </c>
      <c r="J14" s="55">
        <f>H14-I14</f>
        <v>-5000</v>
      </c>
      <c r="K14" s="56">
        <f>IFERROR(J14/I14,0)</f>
        <v>-0.05</v>
      </c>
      <c r="L14" s="55">
        <f>$E$14</f>
        <v>98000</v>
      </c>
      <c r="M14" s="55">
        <f>H14-L14</f>
        <v>-3000</v>
      </c>
      <c r="N14" s="56">
        <f>IFERROR(M14/L14,0)</f>
        <v>-3.0612244897959183E-2</v>
      </c>
      <c r="O14">
        <f>ABS(J14)</f>
        <v>5000</v>
      </c>
    </row>
    <row r="15" spans="2:15" x14ac:dyDescent="0.45">
      <c r="B15" s="24" t="s">
        <v>77</v>
      </c>
      <c r="C15" s="25">
        <f>SUM(C11:C14)</f>
        <v>750000</v>
      </c>
      <c r="D15" s="25">
        <f>SUM(D11:D14)</f>
        <v>695000</v>
      </c>
      <c r="E15" s="25">
        <f>SUM(E11:E14)</f>
        <v>700000</v>
      </c>
    </row>
    <row r="16" spans="2:15" ht="15.75" x14ac:dyDescent="0.5">
      <c r="G16" s="59" t="s">
        <v>107</v>
      </c>
      <c r="H16" s="59"/>
      <c r="I16" s="59"/>
      <c r="J16" s="59"/>
      <c r="K16" s="59"/>
      <c r="L16" s="59"/>
      <c r="M16" s="59"/>
      <c r="N16" s="59"/>
    </row>
    <row r="17" spans="2:14" ht="42" customHeight="1" x14ac:dyDescent="0.45">
      <c r="B17" s="24" t="s">
        <v>78</v>
      </c>
      <c r="C17" s="25">
        <f>C8-C15</f>
        <v>184000</v>
      </c>
      <c r="D17" s="25">
        <f>D8-D15</f>
        <v>205000</v>
      </c>
      <c r="E17" s="25">
        <f>E8-E15</f>
        <v>185000</v>
      </c>
      <c r="G17" s="60" t="s">
        <v>108</v>
      </c>
      <c r="H17" s="60"/>
      <c r="I17" s="60"/>
      <c r="J17" s="60"/>
      <c r="K17" s="60"/>
      <c r="L17" s="60"/>
      <c r="M17" s="60"/>
      <c r="N17" s="60"/>
    </row>
    <row r="18" spans="2:14" ht="42" customHeight="1" x14ac:dyDescent="0.45">
      <c r="G18" s="61" t="s">
        <v>109</v>
      </c>
      <c r="H18" s="61"/>
      <c r="I18" s="61"/>
      <c r="J18" s="61"/>
      <c r="K18" s="61"/>
      <c r="L18" s="61"/>
      <c r="M18" s="61"/>
      <c r="N18" s="61"/>
    </row>
    <row r="19" spans="2:14" ht="42" customHeight="1" x14ac:dyDescent="0.45">
      <c r="G19" s="61" t="s">
        <v>110</v>
      </c>
      <c r="H19" s="61"/>
      <c r="I19" s="61"/>
      <c r="J19" s="61"/>
      <c r="K19" s="61"/>
      <c r="L19" s="61"/>
      <c r="M19" s="61"/>
      <c r="N19" s="61"/>
    </row>
    <row r="20" spans="2:14" ht="42" customHeight="1" x14ac:dyDescent="0.45">
      <c r="G20" s="61" t="s">
        <v>111</v>
      </c>
      <c r="H20" s="61"/>
      <c r="I20" s="61"/>
      <c r="J20" s="61"/>
      <c r="K20" s="61"/>
      <c r="L20" s="61"/>
      <c r="M20" s="61"/>
      <c r="N20" s="61"/>
    </row>
    <row r="21" spans="2:14" ht="42" customHeight="1" x14ac:dyDescent="0.45">
      <c r="G21" s="61" t="s">
        <v>112</v>
      </c>
      <c r="H21" s="61"/>
      <c r="I21" s="61"/>
      <c r="J21" s="61"/>
      <c r="K21" s="61"/>
      <c r="L21" s="61"/>
      <c r="M21" s="61"/>
      <c r="N21" s="61"/>
    </row>
    <row r="22" spans="2:14" ht="42" customHeight="1" x14ac:dyDescent="0.45">
      <c r="G22" s="61" t="s">
        <v>113</v>
      </c>
      <c r="H22" s="61"/>
      <c r="I22" s="61"/>
      <c r="J22" s="61"/>
      <c r="K22" s="61"/>
      <c r="L22" s="61"/>
      <c r="M22" s="61"/>
      <c r="N22" s="61"/>
    </row>
    <row r="23" spans="2:14" ht="42" customHeight="1" x14ac:dyDescent="0.45">
      <c r="G23" s="62" t="s">
        <v>114</v>
      </c>
      <c r="H23" s="62"/>
      <c r="I23" s="62"/>
      <c r="J23" s="62"/>
      <c r="K23" s="62"/>
      <c r="L23" s="62"/>
      <c r="M23" s="62"/>
      <c r="N23" s="62"/>
    </row>
  </sheetData>
  <mergeCells count="10">
    <mergeCell ref="G20:N20"/>
    <mergeCell ref="G21:N21"/>
    <mergeCell ref="G22:N22"/>
    <mergeCell ref="G23:N23"/>
    <mergeCell ref="G2:N2"/>
    <mergeCell ref="G3:N3"/>
    <mergeCell ref="G16:N16"/>
    <mergeCell ref="G17:N17"/>
    <mergeCell ref="G18:N18"/>
    <mergeCell ref="G19:N19"/>
  </mergeCells>
  <conditionalFormatting sqref="J6:J14">
    <cfRule type="cellIs" dxfId="1" priority="1" operator="greaterThan">
      <formula>0</formula>
    </cfRule>
  </conditionalFormatting>
  <conditionalFormatting sqref="J6:J14">
    <cfRule type="cellIs" dxfId="0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6"/>
  <sheetViews>
    <sheetView showGridLines="0" zoomScaleNormal="100" workbookViewId="0"/>
  </sheetViews>
  <sheetFormatPr defaultColWidth="8.6640625" defaultRowHeight="14.25" x14ac:dyDescent="0.45"/>
  <cols>
    <col min="1" max="1" width="3" customWidth="1"/>
    <col min="2" max="2" width="26" customWidth="1"/>
    <col min="3" max="9" width="14" customWidth="1"/>
  </cols>
  <sheetData>
    <row r="2" spans="2:9" ht="20.65" x14ac:dyDescent="0.6">
      <c r="B2" s="9" t="s">
        <v>79</v>
      </c>
    </row>
    <row r="3" spans="2:9" x14ac:dyDescent="0.45">
      <c r="B3" s="10" t="s">
        <v>80</v>
      </c>
    </row>
    <row r="5" spans="2:9" x14ac:dyDescent="0.45">
      <c r="B5" s="11" t="s">
        <v>65</v>
      </c>
      <c r="C5" s="12" t="s">
        <v>66</v>
      </c>
      <c r="D5" s="12" t="s">
        <v>67</v>
      </c>
      <c r="E5" s="12" t="s">
        <v>81</v>
      </c>
      <c r="F5" s="12" t="s">
        <v>82</v>
      </c>
      <c r="G5" s="12" t="s">
        <v>83</v>
      </c>
      <c r="H5" s="12" t="s">
        <v>84</v>
      </c>
      <c r="I5" s="27" t="s">
        <v>85</v>
      </c>
    </row>
    <row r="6" spans="2:9" x14ac:dyDescent="0.45">
      <c r="B6" s="28" t="s">
        <v>69</v>
      </c>
      <c r="C6" s="29">
        <f>'P&amp;L Variance'!C6</f>
        <v>1240000</v>
      </c>
      <c r="D6" s="29">
        <f>'P&amp;L Variance'!D6</f>
        <v>1200000</v>
      </c>
      <c r="E6" s="30">
        <f t="shared" ref="E6:E14" si="0">C6-D6</f>
        <v>40000</v>
      </c>
      <c r="F6" s="31">
        <f t="shared" ref="F6:F14" si="1">IFERROR((C6-D6)/ABS(D6),"")</f>
        <v>3.3333333333333333E-2</v>
      </c>
      <c r="G6" s="30">
        <f>'P&amp;L Variance'!C6-'P&amp;L Variance'!E6</f>
        <v>60000</v>
      </c>
      <c r="H6" s="31">
        <f>IFERROR(('P&amp;L Variance'!C6-'P&amp;L Variance'!E6)/ABS('P&amp;L Variance'!E6),"")</f>
        <v>5.0847457627118647E-2</v>
      </c>
      <c r="I6" s="32" t="str">
        <f t="shared" ref="I6:I14" si="2">IF(OR(ABS(E6)&gt;10000,ABS(F6)&gt;0.05),"Material","-")</f>
        <v>Material</v>
      </c>
    </row>
    <row r="7" spans="2:9" x14ac:dyDescent="0.45">
      <c r="B7" s="28" t="s">
        <v>70</v>
      </c>
      <c r="C7" s="29">
        <f>'P&amp;L Variance'!C7</f>
        <v>306000</v>
      </c>
      <c r="D7" s="29">
        <f>'P&amp;L Variance'!D7</f>
        <v>300000</v>
      </c>
      <c r="E7" s="30">
        <f t="shared" si="0"/>
        <v>6000</v>
      </c>
      <c r="F7" s="31">
        <f t="shared" si="1"/>
        <v>0.02</v>
      </c>
      <c r="G7" s="30">
        <f>'P&amp;L Variance'!C7-'P&amp;L Variance'!E7</f>
        <v>11000</v>
      </c>
      <c r="H7" s="31">
        <f>IFERROR(('P&amp;L Variance'!C7-'P&amp;L Variance'!E7)/ABS('P&amp;L Variance'!E7),"")</f>
        <v>3.7288135593220341E-2</v>
      </c>
      <c r="I7" s="32" t="str">
        <f t="shared" si="2"/>
        <v>-</v>
      </c>
    </row>
    <row r="8" spans="2:9" x14ac:dyDescent="0.45">
      <c r="B8" s="28" t="s">
        <v>71</v>
      </c>
      <c r="C8" s="29">
        <f>'P&amp;L Variance'!C8</f>
        <v>934000</v>
      </c>
      <c r="D8" s="29">
        <f>'P&amp;L Variance'!D8</f>
        <v>900000</v>
      </c>
      <c r="E8" s="30">
        <f t="shared" si="0"/>
        <v>34000</v>
      </c>
      <c r="F8" s="31">
        <f t="shared" si="1"/>
        <v>3.7777777777777778E-2</v>
      </c>
      <c r="G8" s="30">
        <f>'P&amp;L Variance'!C8-'P&amp;L Variance'!E8</f>
        <v>49000</v>
      </c>
      <c r="H8" s="31">
        <f>IFERROR(('P&amp;L Variance'!C8-'P&amp;L Variance'!E8)/ABS('P&amp;L Variance'!E8),"")</f>
        <v>5.5367231638418078E-2</v>
      </c>
      <c r="I8" s="32" t="str">
        <f t="shared" si="2"/>
        <v>Material</v>
      </c>
    </row>
    <row r="9" spans="2:9" x14ac:dyDescent="0.45">
      <c r="B9" s="28" t="s">
        <v>86</v>
      </c>
      <c r="C9" s="29">
        <f>'P&amp;L Variance'!C11</f>
        <v>280000</v>
      </c>
      <c r="D9" s="29">
        <f>'P&amp;L Variance'!D11</f>
        <v>240000</v>
      </c>
      <c r="E9" s="30">
        <f t="shared" si="0"/>
        <v>40000</v>
      </c>
      <c r="F9" s="31">
        <f t="shared" si="1"/>
        <v>0.16666666666666666</v>
      </c>
      <c r="G9" s="30">
        <f>'P&amp;L Variance'!C11-'P&amp;L Variance'!E11</f>
        <v>30000</v>
      </c>
      <c r="H9" s="31">
        <f>IFERROR(('P&amp;L Variance'!C11-'P&amp;L Variance'!E11)/ABS('P&amp;L Variance'!E11),"")</f>
        <v>0.12</v>
      </c>
      <c r="I9" s="32" t="str">
        <f t="shared" si="2"/>
        <v>Material</v>
      </c>
    </row>
    <row r="10" spans="2:9" x14ac:dyDescent="0.45">
      <c r="B10" s="28" t="s">
        <v>87</v>
      </c>
      <c r="C10" s="29">
        <f>'P&amp;L Variance'!C12</f>
        <v>210000</v>
      </c>
      <c r="D10" s="29">
        <f>'P&amp;L Variance'!D12</f>
        <v>205000</v>
      </c>
      <c r="E10" s="30">
        <f t="shared" si="0"/>
        <v>5000</v>
      </c>
      <c r="F10" s="31">
        <f t="shared" si="1"/>
        <v>2.4390243902439025E-2</v>
      </c>
      <c r="G10" s="30">
        <f>'P&amp;L Variance'!C12-'P&amp;L Variance'!E12</f>
        <v>10000</v>
      </c>
      <c r="H10" s="31">
        <f>IFERROR(('P&amp;L Variance'!C12-'P&amp;L Variance'!E12)/ABS('P&amp;L Variance'!E12),"")</f>
        <v>0.05</v>
      </c>
      <c r="I10" s="32" t="str">
        <f t="shared" si="2"/>
        <v>-</v>
      </c>
    </row>
    <row r="11" spans="2:9" x14ac:dyDescent="0.45">
      <c r="B11" s="28" t="s">
        <v>88</v>
      </c>
      <c r="C11" s="29">
        <f>'P&amp;L Variance'!C13</f>
        <v>165000</v>
      </c>
      <c r="D11" s="29">
        <f>'P&amp;L Variance'!D13</f>
        <v>150000</v>
      </c>
      <c r="E11" s="30">
        <f t="shared" si="0"/>
        <v>15000</v>
      </c>
      <c r="F11" s="31">
        <f t="shared" si="1"/>
        <v>0.1</v>
      </c>
      <c r="G11" s="30">
        <f>'P&amp;L Variance'!C13-'P&amp;L Variance'!E13</f>
        <v>13000</v>
      </c>
      <c r="H11" s="31">
        <f>IFERROR(('P&amp;L Variance'!C13-'P&amp;L Variance'!E13)/ABS('P&amp;L Variance'!E13),"")</f>
        <v>8.5526315789473686E-2</v>
      </c>
      <c r="I11" s="32" t="str">
        <f t="shared" si="2"/>
        <v>Material</v>
      </c>
    </row>
    <row r="12" spans="2:9" x14ac:dyDescent="0.45">
      <c r="B12" s="28" t="s">
        <v>89</v>
      </c>
      <c r="C12" s="29">
        <f>'P&amp;L Variance'!C14</f>
        <v>95000</v>
      </c>
      <c r="D12" s="29">
        <f>'P&amp;L Variance'!D14</f>
        <v>100000</v>
      </c>
      <c r="E12" s="30">
        <f t="shared" si="0"/>
        <v>-5000</v>
      </c>
      <c r="F12" s="31">
        <f t="shared" si="1"/>
        <v>-0.05</v>
      </c>
      <c r="G12" s="30">
        <f>'P&amp;L Variance'!C14-'P&amp;L Variance'!E14</f>
        <v>-3000</v>
      </c>
      <c r="H12" s="31">
        <f>IFERROR(('P&amp;L Variance'!C14-'P&amp;L Variance'!E14)/ABS('P&amp;L Variance'!E14),"")</f>
        <v>-3.0612244897959183E-2</v>
      </c>
      <c r="I12" s="32" t="str">
        <f t="shared" si="2"/>
        <v>-</v>
      </c>
    </row>
    <row r="13" spans="2:9" x14ac:dyDescent="0.45">
      <c r="B13" s="28" t="s">
        <v>77</v>
      </c>
      <c r="C13" s="29">
        <f>'P&amp;L Variance'!C15</f>
        <v>750000</v>
      </c>
      <c r="D13" s="29">
        <f>'P&amp;L Variance'!D15</f>
        <v>695000</v>
      </c>
      <c r="E13" s="30">
        <f t="shared" si="0"/>
        <v>55000</v>
      </c>
      <c r="F13" s="31">
        <f t="shared" si="1"/>
        <v>7.9136690647482008E-2</v>
      </c>
      <c r="G13" s="30">
        <f>'P&amp;L Variance'!C15-'P&amp;L Variance'!E15</f>
        <v>50000</v>
      </c>
      <c r="H13" s="31">
        <f>IFERROR(('P&amp;L Variance'!C15-'P&amp;L Variance'!E15)/ABS('P&amp;L Variance'!E15),"")</f>
        <v>7.1428571428571425E-2</v>
      </c>
      <c r="I13" s="32" t="str">
        <f t="shared" si="2"/>
        <v>Material</v>
      </c>
    </row>
    <row r="14" spans="2:9" x14ac:dyDescent="0.45">
      <c r="B14" s="28" t="s">
        <v>78</v>
      </c>
      <c r="C14" s="29">
        <f>'P&amp;L Variance'!C17</f>
        <v>184000</v>
      </c>
      <c r="D14" s="29">
        <f>'P&amp;L Variance'!D17</f>
        <v>205000</v>
      </c>
      <c r="E14" s="30">
        <f t="shared" si="0"/>
        <v>-21000</v>
      </c>
      <c r="F14" s="31">
        <f t="shared" si="1"/>
        <v>-0.1024390243902439</v>
      </c>
      <c r="G14" s="30">
        <f>'P&amp;L Variance'!C17-'P&amp;L Variance'!E17</f>
        <v>-1000</v>
      </c>
      <c r="H14" s="31">
        <f>IFERROR(('P&amp;L Variance'!C17-'P&amp;L Variance'!E17)/ABS('P&amp;L Variance'!E17),"")</f>
        <v>-5.4054054054054057E-3</v>
      </c>
      <c r="I14" s="32" t="str">
        <f t="shared" si="2"/>
        <v>Material</v>
      </c>
    </row>
    <row r="16" spans="2:9" x14ac:dyDescent="0.45">
      <c r="B16" s="33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Unit Economics</vt:lpstr>
      <vt:lpstr>Unit Economics (Key)</vt:lpstr>
      <vt:lpstr>P&amp;L Variance</vt:lpstr>
      <vt:lpstr>P&amp;L Variance (Key)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George Mount</cp:lastModifiedBy>
  <cp:revision>0</cp:revision>
  <dcterms:created xsi:type="dcterms:W3CDTF">2026-07-22T14:42:20Z</dcterms:created>
  <dcterms:modified xsi:type="dcterms:W3CDTF">2026-07-22T18:32:13Z</dcterms:modified>
  <dc:language>en-US</dc:language>
</cp:coreProperties>
</file>
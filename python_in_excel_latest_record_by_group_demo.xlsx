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DE12F93B-E7D7-4BF7-B508-51F1F460F184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Customer Activity" sheetId="1" r:id="rId1"/>
    <sheet name="Analysi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" l="1" a="1"/>
  <c r="A1" i="3" a="1"/>
  <c r="A18" i="3" l="1"/>
  <c r="A1" i="3"/>
  <c r="A3" i="3" a="1"/>
  <c r="A3" i="3" l="1"/>
  <c r="A8" i="3" a="1"/>
  <c r="A8" i="3" l="1"/>
  <c r="A13" i="3" a="1"/>
  <c r="A1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11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df["activity_date"] = pd.to_datetime(df["activity_date"])
df</code>
    </pythonScript>
    <pythonScript>
      <code>latest_activity = df.loc[ df.groupby("customer")["activity_date"].idxmax()] 
latest_activity</code>
    </pythonScript>
    <pythonScript>
      <code>latest_activity = ( df.loc[df.groupby("customer")["activity_date"].idxmax()].sort_values("customer").reset_index(drop=True) )
latest_activity</code>
    </pythonScript>
    <pythonScript>
      <code>latest_activity = (df.sort_values("activity_date", ascending=False) .drop_duplicates("customer").reset_index(drop=True) ) 
latest_activity</code>
    </pythonScript>
    <pythonScript>
      <code>latest_activity = (df.sort_values( ["activity_date", "activity_id"], ascending=[False, False] ) .drop_duplicates("customer").reset_index(drop=True))
latest_activity</code>
    </pythonScript>
  </pythonScripts>
</python>
</file>

<file path=xl/sharedStrings.xml><?xml version="1.0" encoding="utf-8"?>
<sst xmlns="http://schemas.openxmlformats.org/spreadsheetml/2006/main" count="22" uniqueCount="10">
  <si>
    <t>customer</t>
  </si>
  <si>
    <t>activity_date</t>
  </si>
  <si>
    <t>activity_type</t>
  </si>
  <si>
    <t>amount</t>
  </si>
  <si>
    <t>Acme Co</t>
  </si>
  <si>
    <t>Purchase</t>
  </si>
  <si>
    <t>Bravo LLC</t>
  </si>
  <si>
    <t>Support call</t>
  </si>
  <si>
    <t>Delta Inc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</si>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</sst>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0" c="5">
    <v t="s"/>
    <v t="s">customer</v>
    <v t="s">activity_date</v>
    <v t="s">activity_type</v>
    <v t="s">amount</v>
    <v>0</v>
    <v t="s">Acme Co</v>
    <v t="r">0</v>
    <v t="s">Purchase</v>
    <v>1200</v>
    <v>1</v>
    <v t="s">Bravo LLC</v>
    <v t="r">1</v>
    <v t="s">Purchase</v>
    <v>750</v>
    <v>2</v>
    <v t="s">Acme Co</v>
    <v t="r">2</v>
    <v t="s">Support call</v>
    <v>0</v>
    <v>3</v>
    <v t="s">Delta Inc</v>
    <v t="r">3</v>
    <v t="s">Purchase</v>
    <v>2100</v>
    <v>4</v>
    <v t="s">Bravo LLC</v>
    <v t="r">4</v>
    <v t="s">Renewal</v>
    <v>900</v>
    <v>5</v>
    <v t="s">Acme Co</v>
    <v t="r">5</v>
    <v t="s">Purchase</v>
    <v>1450</v>
    <v>6</v>
    <v t="s">Delta Inc</v>
    <v t="r">6</v>
    <v t="s">Support call</v>
    <v>0</v>
    <v>7</v>
    <v t="s">Bravo LLC</v>
    <v t="r">7</v>
    <v t="s">Purchase</v>
    <v>1100</v>
    <v>8</v>
    <v t="s">Delta Inc</v>
    <v t="r">8</v>
    <v t="s">Renewal</v>
    <v>2200</v>
  </a>
</arrayData>
</file>

<file path=xl/richData/rdrichvalue.xml><?xml version="1.0" encoding="utf-8"?>
<rvData xmlns="http://schemas.microsoft.com/office/spreadsheetml/2017/richdata" count="13">
  <rv s="0">
    <fb>46027</fb>
    <v>2</v>
  </rv>
  <rv s="0">
    <fb>46030</fb>
    <v>2</v>
  </rv>
  <rv s="0">
    <fb>46067</fb>
    <v>2</v>
  </rv>
  <rv s="0">
    <fb>46073</fb>
    <v>2</v>
  </rv>
  <rv s="0">
    <fb>46084</fb>
    <v>2</v>
  </rv>
  <rv s="0">
    <fb>46099</fb>
    <v>2</v>
  </rv>
  <rv s="0">
    <fb>46114</fb>
    <v>2</v>
  </rv>
  <rv s="0">
    <fb>46127</fb>
    <v>2</v>
  </rv>
  <rv s="0">
    <fb>46148</fb>
    <v>2</v>
  </rv>
  <rv s="1">
    <v>0</v>
  </rv>
  <rv s="2">
    <v>DataFrame</v>
    <v>1</v>
    <v>9</v>
  </rv>
  <rv s="3">
    <v>&lt;class 'pandas.core.frame.DataFrame'&gt;</v>
    <v>DataFrame</v>
    <v xml:space="preserve">    customer activity_date activity_type  amount
0    Acme Co    2026-01-05      Purchase    1200
1  Bravo LLC    2026-01-08      Purchase     750
2    Acme Co    2026-02-14  Support call       0
3  Delta Inc    2026-02-20      Purchase    2100
4  Brav...</v>
    <v>10</v>
    <v>3</v>
  </rv>
  <rv s="4">
    <v>0c3a3dd57caa4223bd8eaad24fff82f9</v>
    <v>'activity_id'</v>
    <v>KeyError</v>
    <v>18</v>
    <v>1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error">
    <k n="correlationId" t="s"/>
    <k n="errorMessage" t="s"/>
    <k n="errorName" t="s"/>
    <k n="errorType" t="i"/>
    <k n="subType" t="i"/>
  </s>
</rvStructures>
</file>

<file path=xl/richData/rdsupportingpropertybag.xml><?xml version="1.0" encoding="utf-8"?>
<supportingPropertyBags xmlns="http://schemas.microsoft.com/office/spreadsheetml/2017/richdata2">
  <spbData count="4">
    <spb s="0">
      <v>9</v>
      <v>4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_activity" displayName="customer_activity" ref="A1:D10">
  <tableColumns count="4">
    <tableColumn id="1" xr3:uid="{00000000-0010-0000-0000-000001000000}" name="customer"/>
    <tableColumn id="2" xr3:uid="{00000000-0010-0000-0000-000002000000}" name="activity_date"/>
    <tableColumn id="3" xr3:uid="{00000000-0010-0000-0000-000003000000}" name="activity_type"/>
    <tableColumn id="4" xr3:uid="{00000000-0010-0000-0000-000004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2" sqref="A12"/>
    </sheetView>
  </sheetViews>
  <sheetFormatPr defaultRowHeight="13.7"/>
  <cols>
    <col min="1" max="1" width="18" customWidth="1"/>
    <col min="2" max="2" width="16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46027</v>
      </c>
      <c r="C2" t="s">
        <v>5</v>
      </c>
      <c r="D2" s="3">
        <v>1200</v>
      </c>
    </row>
    <row r="3" spans="1:4">
      <c r="A3" t="s">
        <v>6</v>
      </c>
      <c r="B3" s="2">
        <v>46030</v>
      </c>
      <c r="C3" t="s">
        <v>5</v>
      </c>
      <c r="D3" s="3">
        <v>750</v>
      </c>
    </row>
    <row r="4" spans="1:4">
      <c r="A4" t="s">
        <v>4</v>
      </c>
      <c r="B4" s="2">
        <v>46067</v>
      </c>
      <c r="C4" t="s">
        <v>7</v>
      </c>
      <c r="D4" s="3">
        <v>0</v>
      </c>
    </row>
    <row r="5" spans="1:4">
      <c r="A5" t="s">
        <v>8</v>
      </c>
      <c r="B5" s="2">
        <v>46073</v>
      </c>
      <c r="C5" t="s">
        <v>5</v>
      </c>
      <c r="D5" s="3">
        <v>2100</v>
      </c>
    </row>
    <row r="6" spans="1:4">
      <c r="A6" t="s">
        <v>6</v>
      </c>
      <c r="B6" s="2">
        <v>46084</v>
      </c>
      <c r="C6" t="s">
        <v>9</v>
      </c>
      <c r="D6" s="3">
        <v>900</v>
      </c>
    </row>
    <row r="7" spans="1:4">
      <c r="A7" t="s">
        <v>4</v>
      </c>
      <c r="B7" s="2">
        <v>46099</v>
      </c>
      <c r="C7" t="s">
        <v>5</v>
      </c>
      <c r="D7" s="3">
        <v>1450</v>
      </c>
    </row>
    <row r="8" spans="1:4">
      <c r="A8" t="s">
        <v>8</v>
      </c>
      <c r="B8" s="2">
        <v>46114</v>
      </c>
      <c r="C8" t="s">
        <v>7</v>
      </c>
      <c r="D8" s="3">
        <v>0</v>
      </c>
    </row>
    <row r="9" spans="1:4">
      <c r="A9" t="s">
        <v>6</v>
      </c>
      <c r="B9" s="2">
        <v>46127</v>
      </c>
      <c r="C9" t="s">
        <v>5</v>
      </c>
      <c r="D9" s="3">
        <v>1100</v>
      </c>
    </row>
    <row r="10" spans="1:4">
      <c r="A10" t="s">
        <v>8</v>
      </c>
      <c r="B10" s="2">
        <v>46148</v>
      </c>
      <c r="C10" t="s">
        <v>9</v>
      </c>
      <c r="D10" s="3">
        <v>2200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2E3F-C70A-4A17-B0A2-871E528F097B}">
  <dimension ref="A1:E18"/>
  <sheetViews>
    <sheetView workbookViewId="0">
      <selection activeCell="A18" sqref="A18"/>
    </sheetView>
  </sheetViews>
  <sheetFormatPr defaultRowHeight="13.7"/>
  <cols>
    <col min="1" max="1" width="11.44140625" bestFit="1" customWidth="1"/>
    <col min="2" max="3" width="10.44140625" bestFit="1" customWidth="1"/>
    <col min="4" max="4" width="10.33203125" bestFit="1" customWidth="1"/>
  </cols>
  <sheetData>
    <row r="1" spans="1:5">
      <c r="A1" t="e" cm="1" vm="1">
        <f t="array" ref="A1">_xlfn._xlws.PY(0,1,customer_activity[#All])</f>
        <v>#VALUE!</v>
      </c>
    </row>
    <row r="3" spans="1:5">
      <c r="A3" t="str" cm="1">
        <f t="array" ref="A3:E6">_xlfn._xlws.PY(1,0)</f>
        <v/>
      </c>
      <c r="B3" t="str">
        <v>customer</v>
      </c>
      <c r="C3" t="str">
        <v>activity_date</v>
      </c>
      <c r="D3" t="str">
        <v>activity_type</v>
      </c>
      <c r="E3" t="str">
        <v>amount</v>
      </c>
    </row>
    <row r="4" spans="1:5">
      <c r="A4">
        <v>5</v>
      </c>
      <c r="B4" t="str">
        <v>Acme Co</v>
      </c>
      <c r="C4" vm="2">
        <v>46099</v>
      </c>
      <c r="D4" t="str">
        <v>Purchase</v>
      </c>
      <c r="E4">
        <v>1450</v>
      </c>
    </row>
    <row r="5" spans="1:5">
      <c r="A5">
        <v>7</v>
      </c>
      <c r="B5" t="str">
        <v>Bravo LLC</v>
      </c>
      <c r="C5" vm="3">
        <v>46127</v>
      </c>
      <c r="D5" t="str">
        <v>Purchase</v>
      </c>
      <c r="E5">
        <v>1100</v>
      </c>
    </row>
    <row r="6" spans="1:5">
      <c r="A6">
        <v>8</v>
      </c>
      <c r="B6" t="str">
        <v>Delta Inc</v>
      </c>
      <c r="C6" vm="4">
        <v>46148</v>
      </c>
      <c r="D6" t="str">
        <v>Renewal</v>
      </c>
      <c r="E6">
        <v>2200</v>
      </c>
    </row>
    <row r="8" spans="1:5">
      <c r="A8" t="str" cm="1">
        <f t="array" ref="A8:D11">_xlfn._xlws.PY(2,0)</f>
        <v>customer</v>
      </c>
      <c r="B8" t="str">
        <v>activity_date</v>
      </c>
      <c r="C8" t="str">
        <v>activity_type</v>
      </c>
      <c r="D8" t="str">
        <v>amount</v>
      </c>
    </row>
    <row r="9" spans="1:5">
      <c r="A9" t="str">
        <v>Acme Co</v>
      </c>
      <c r="B9" vm="2">
        <v>46099</v>
      </c>
      <c r="C9" t="str">
        <v>Purchase</v>
      </c>
      <c r="D9">
        <v>1450</v>
      </c>
    </row>
    <row r="10" spans="1:5">
      <c r="A10" t="str">
        <v>Bravo LLC</v>
      </c>
      <c r="B10" vm="3">
        <v>46127</v>
      </c>
      <c r="C10" t="str">
        <v>Purchase</v>
      </c>
      <c r="D10">
        <v>1100</v>
      </c>
    </row>
    <row r="11" spans="1:5">
      <c r="A11" t="str">
        <v>Delta Inc</v>
      </c>
      <c r="B11" vm="4">
        <v>46148</v>
      </c>
      <c r="C11" t="str">
        <v>Renewal</v>
      </c>
      <c r="D11">
        <v>2200</v>
      </c>
    </row>
    <row r="13" spans="1:5">
      <c r="A13" t="str" cm="1">
        <f t="array" ref="A13:D16">_xlfn._xlws.PY(3,0)</f>
        <v>customer</v>
      </c>
      <c r="B13" t="str">
        <v>activity_date</v>
      </c>
      <c r="C13" t="str">
        <v>activity_type</v>
      </c>
      <c r="D13" t="str">
        <v>amount</v>
      </c>
    </row>
    <row r="14" spans="1:5">
      <c r="A14" t="str">
        <v>Delta Inc</v>
      </c>
      <c r="B14" vm="4">
        <v>46148</v>
      </c>
      <c r="C14" t="str">
        <v>Renewal</v>
      </c>
      <c r="D14">
        <v>2200</v>
      </c>
    </row>
    <row r="15" spans="1:5">
      <c r="A15" t="str">
        <v>Bravo LLC</v>
      </c>
      <c r="B15" vm="3">
        <v>46127</v>
      </c>
      <c r="C15" t="str">
        <v>Purchase</v>
      </c>
      <c r="D15">
        <v>1100</v>
      </c>
    </row>
    <row r="16" spans="1:5">
      <c r="A16" t="str">
        <v>Acme Co</v>
      </c>
      <c r="B16" vm="2">
        <v>46099</v>
      </c>
      <c r="C16" t="str">
        <v>Purchase</v>
      </c>
      <c r="D16">
        <v>1450</v>
      </c>
    </row>
    <row r="18" spans="1:1">
      <c r="A18" t="e" cm="1" vm="5">
        <f t="array" ref="A18">_xlfn._xlws.PY(4,1)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Activity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2026-07-16T17:21:14Z</dcterms:modified>
</cp:coreProperties>
</file>
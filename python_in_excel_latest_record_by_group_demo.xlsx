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eorg\Documents\GitHub\blog-files\"/>
    </mc:Choice>
  </mc:AlternateContent>
  <xr:revisionPtr revIDLastSave="0" documentId="13_ncr:1_{FDE99AFE-DDDF-44BC-AF57-32A1B956132A}" xr6:coauthVersionLast="47" xr6:coauthVersionMax="47" xr10:uidLastSave="{00000000-0000-0000-0000-000000000000}"/>
  <bookViews>
    <workbookView xWindow="-93" yWindow="-93" windowWidth="16826" windowHeight="11280" activeTab="1" xr2:uid="{00000000-000D-0000-FFFF-FFFF00000000}"/>
  </bookViews>
  <sheets>
    <sheet name="Customer Activity" sheetId="1" r:id="rId1"/>
    <sheet name="Analysi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" i="3" l="1" a="1"/>
  <c r="A1" i="3" a="1"/>
  <c r="A36" i="3" l="1"/>
  <c r="A1" i="3"/>
  <c r="A3" i="3" a="1"/>
  <c r="A3" i="3" l="1"/>
  <c r="A9" i="3" a="1"/>
  <c r="A9" i="3" l="1"/>
  <c r="A15" i="3" a="1"/>
  <c r="A15" i="3" l="1"/>
  <c r="A21" i="3" a="1"/>
  <c r="A21" i="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4"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15"/>
        </ext>
      </extLst>
    </bk>
  </futureMetadata>
  <cellMetadata count="1">
    <bk>
      <rc t="1" v="0"/>
    </bk>
  </cellMetadata>
  <valueMetadata count="14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df = xl(%P2%, headers=True)
df["activity_date"] = pd.to_datetime(df["activity_date"])
df</code>
    </pythonScript>
    <pythonScript>
      <code>latest_activity = df.loc[df.groupby("customer")["activity_date"].idxmax()] 
latest_activity</code>
    </pythonScript>
    <pythonScript>
      <code>latest_activity = ( df.loc[df.groupby("customer")["activity_date"].idxmax()].sort_values("customer").reset_index(drop=True) )
latest_activity</code>
    </pythonScript>
    <pythonScript>
      <code>latest_activity = (df.sort_values("activity_date", ascending=False) .drop_duplicates("customer").reset_index(drop=True) ) 
latest_activity</code>
    </pythonScript>
    <pythonScript>
      <code>df["activity_date"] = pd.to_datetime( df["activity_date"], errors="coerce") 
df = df.dropna(subset=["activity_date"])
df</code>
    </pythonScript>
    <pythonScript>
      <code>latest_activity = (df.sort_values( ["activity_date", "activity_id"], ascending=[False, False]).drop_duplicates("customer") )
latest_activity</code>
    </pythonScript>
  </pythonScripts>
</python>
</file>

<file path=xl/sharedStrings.xml><?xml version="1.0" encoding="utf-8"?>
<sst xmlns="http://schemas.openxmlformats.org/spreadsheetml/2006/main" count="28" uniqueCount="12">
  <si>
    <t>customer</t>
  </si>
  <si>
    <t>activity_date</t>
  </si>
  <si>
    <t>activity_type</t>
  </si>
  <si>
    <t>amount</t>
  </si>
  <si>
    <t>Acme Co</t>
  </si>
  <si>
    <t>Purchase</t>
  </si>
  <si>
    <t>Bravo LLC</t>
  </si>
  <si>
    <t>Support call</t>
  </si>
  <si>
    <t>Delta Inc</t>
  </si>
  <si>
    <t>Renewal</t>
  </si>
  <si>
    <t>Cedar Group</t>
  </si>
  <si>
    <t>Onboarding call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</si>
</sst>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name val="Carli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microsoft.com/office/2017/06/relationships/rdRichValueTypes" Target="richData/rdRichValueTypes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haredStrings" Target="sharedStrings.xml"/><Relationship Id="rId15" Type="http://schemas.microsoft.com/office/2023/09/relationships/Python" Target="python.xml"/><Relationship Id="rId10" Type="http://schemas.microsoft.com/office/2017/06/relationships/richStyles" Target="richData/richStyles.xml"/><Relationship Id="rId4" Type="http://schemas.openxmlformats.org/officeDocument/2006/relationships/styles" Target="styles.xml"/><Relationship Id="rId9" Type="http://schemas.microsoft.com/office/2017/06/relationships/rdArray" Target="richData/rdarray.xml"/><Relationship Id="rId14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2" c="5">
    <v t="s"/>
    <v t="s">customer</v>
    <v t="s">activity_date</v>
    <v t="s">activity_type</v>
    <v t="s">amount</v>
    <v>0</v>
    <v t="s">Acme Co</v>
    <v t="r">0</v>
    <v t="s">Purchase</v>
    <v>1200</v>
    <v>1</v>
    <v t="s">Bravo LLC</v>
    <v t="r">1</v>
    <v t="s">Purchase</v>
    <v>750</v>
    <v>2</v>
    <v t="s">Cedar Group</v>
    <v t="r">2</v>
    <v t="s">Onboarding call</v>
    <v>0</v>
    <v>3</v>
    <v t="s">Acme Co</v>
    <v t="r">3</v>
    <v t="s">Support call</v>
    <v>0</v>
    <v>4</v>
    <v t="s">Delta Inc</v>
    <v t="r">4</v>
    <v t="s">Purchase</v>
    <v>2100</v>
    <v t="s">...</v>
    <v t="s">...</v>
    <v t="s">...</v>
    <v t="s">...</v>
    <v t="s">...</v>
    <v>7</v>
    <v t="s">Cedar Group</v>
    <v t="r">5</v>
    <v t="s">Purchase</v>
    <v>1850</v>
    <v>8</v>
    <v t="s">Delta Inc</v>
    <v t="r">6</v>
    <v t="s">Support call</v>
    <v>0</v>
    <v>9</v>
    <v t="s">Bravo LLC</v>
    <v t="r">7</v>
    <v t="s">Purchase</v>
    <v>1100</v>
    <v>10</v>
    <v t="s">Cedar Group</v>
    <v t="r">8</v>
    <v t="s">Renewal</v>
    <v>1950</v>
    <v>11</v>
    <v t="s">Delta Inc</v>
    <v t="r">9</v>
    <v t="s">Renewal</v>
    <v>2200</v>
  </a>
</arrayData>
</file>

<file path=xl/richData/rdrichvalue.xml><?xml version="1.0" encoding="utf-8"?>
<rvData xmlns="http://schemas.microsoft.com/office/spreadsheetml/2017/richdata" count="16">
  <rv s="0">
    <fb>46027</fb>
    <v>2</v>
  </rv>
  <rv s="0">
    <fb>46030</fb>
    <v>2</v>
  </rv>
  <rv s="0">
    <fb>46044</fb>
    <v>2</v>
  </rv>
  <rv s="0">
    <fb>46067</fb>
    <v>2</v>
  </rv>
  <rv s="0">
    <fb>46073</fb>
    <v>2</v>
  </rv>
  <rv s="0">
    <fb>46106</fb>
    <v>2</v>
  </rv>
  <rv s="0">
    <fb>46114</fb>
    <v>2</v>
  </rv>
  <rv s="0">
    <fb>46127</fb>
    <v>2</v>
  </rv>
  <rv s="0">
    <fb>46140</fb>
    <v>2</v>
  </rv>
  <rv s="0">
    <fb>46148</fb>
    <v>2</v>
  </rv>
  <rv s="1">
    <v>0</v>
  </rv>
  <rv s="2">
    <v>DataFrame</v>
    <v>1</v>
    <v>10</v>
  </rv>
  <rv s="3">
    <v>&lt;class 'pandas.core.frame.DataFrame'&gt;</v>
    <v>DataFrame</v>
    <v xml:space="preserve">       customer activity_date    activity_type  amount
0       Acme Co    2026-01-05         Purchase    1200
1     Bravo LLC    2026-01-08         Purchase     750
2   Cedar Group    2026-01-22  Onboarding call       0
3       Acme Co    2026-02-14   ...</v>
    <v>11</v>
    <v>3</v>
  </rv>
  <rv s="0">
    <fb>46099</fb>
    <v>2</v>
  </rv>
  <rv s="0">
    <fb>46084</fb>
    <v>2</v>
  </rv>
  <rv s="4">
    <v>a30953fccdf3492c86c6b3983acb0e27</v>
    <v>'activity_id'</v>
    <v>KeyError</v>
    <v>18</v>
    <v>1</v>
  </rv>
</rvData>
</file>

<file path=xl/richData/rdrichvaluestructure.xml><?xml version="1.0" encoding="utf-8"?>
<rvStructures xmlns="http://schemas.microsoft.com/office/spreadsheetml/2017/richdata" count="5">
  <s t="_formattednumber">
    <k n="_Format" t="spb"/>
  </s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error">
    <k n="correlationId" t="s"/>
    <k n="errorMessage" t="s"/>
    <k n="errorName" t="s"/>
    <k n="errorType" t="i"/>
    <k n="subType" t="i"/>
  </s>
</rvStructures>
</file>

<file path=xl/richData/rdsupportingpropertybag.xml><?xml version="1.0" encoding="utf-8"?>
<supportingPropertyBags xmlns="http://schemas.microsoft.com/office/spreadsheetml/2017/richdata2">
  <spbData count="4">
    <spb s="0">
      <v>12</v>
      <v>4</v>
      <v>DataFrame</v>
      <v>arrayPreview</v>
      <v>1</v>
    </spb>
    <spb s="1">
      <v>0</v>
    </spb>
    <spb s="2">
      <v>1</v>
    </spb>
    <spb s="3">
      <v>https://www.anaconda.com/excel</v>
      <v>https://res.cdn.office.net/officepysvc/prod-service/anacondalogo.png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4">
  <s>
    <k n="drw" t="i"/>
    <k n="dcol" t="i"/>
    <k n="name" t="s"/>
    <k n="array" t="s"/>
    <k n="headers" t="b"/>
  </s>
  <s>
    <k n="ArrayCardInfo" t="spb"/>
  </s>
  <s>
    <k n="_Self" t="i"/>
  </s>
  <s>
    <k n="link" t="s"/>
    <k n="logo" t="s"/>
    <k n="na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19" formatCode="m/d/yyyy"/>
    </x:dxf>
  </dxfs>
  <richStyles>
    <rSty dxfid="0"/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stomer_activity" displayName="customer_activity" ref="A1:D13">
  <tableColumns count="4">
    <tableColumn id="1" xr3:uid="{00000000-0010-0000-0000-000001000000}" name="customer"/>
    <tableColumn id="2" xr3:uid="{00000000-0010-0000-0000-000002000000}" name="activity_date"/>
    <tableColumn id="3" xr3:uid="{00000000-0010-0000-0000-000003000000}" name="activity_type"/>
    <tableColumn id="4" xr3:uid="{00000000-0010-0000-0000-000004000000}" name="am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workbookViewId="0">
      <selection sqref="A1:D13"/>
    </sheetView>
  </sheetViews>
  <sheetFormatPr defaultRowHeight="13.7"/>
  <cols>
    <col min="1" max="1" width="18" customWidth="1"/>
    <col min="2" max="2" width="16" customWidth="1"/>
    <col min="3" max="3" width="18" customWidth="1"/>
    <col min="4" max="4" width="12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2" t="s">
        <v>4</v>
      </c>
      <c r="B2" s="3">
        <v>46027</v>
      </c>
      <c r="C2" s="2" t="s">
        <v>5</v>
      </c>
      <c r="D2" s="2">
        <v>1200</v>
      </c>
    </row>
    <row r="3" spans="1:4">
      <c r="A3" s="2" t="s">
        <v>6</v>
      </c>
      <c r="B3" s="3">
        <v>46030</v>
      </c>
      <c r="C3" s="2" t="s">
        <v>5</v>
      </c>
      <c r="D3" s="2">
        <v>750</v>
      </c>
    </row>
    <row r="4" spans="1:4">
      <c r="A4" s="2" t="s">
        <v>10</v>
      </c>
      <c r="B4" s="3">
        <v>46044</v>
      </c>
      <c r="C4" s="2" t="s">
        <v>11</v>
      </c>
      <c r="D4" s="2">
        <v>0</v>
      </c>
    </row>
    <row r="5" spans="1:4">
      <c r="A5" s="2" t="s">
        <v>4</v>
      </c>
      <c r="B5" s="3">
        <v>46067</v>
      </c>
      <c r="C5" s="2" t="s">
        <v>7</v>
      </c>
      <c r="D5" s="2">
        <v>0</v>
      </c>
    </row>
    <row r="6" spans="1:4">
      <c r="A6" s="2" t="s">
        <v>8</v>
      </c>
      <c r="B6" s="3">
        <v>46073</v>
      </c>
      <c r="C6" s="2" t="s">
        <v>5</v>
      </c>
      <c r="D6" s="2">
        <v>2100</v>
      </c>
    </row>
    <row r="7" spans="1:4">
      <c r="A7" s="2" t="s">
        <v>6</v>
      </c>
      <c r="B7" s="3">
        <v>46084</v>
      </c>
      <c r="C7" s="2" t="s">
        <v>9</v>
      </c>
      <c r="D7" s="2">
        <v>900</v>
      </c>
    </row>
    <row r="8" spans="1:4">
      <c r="A8" s="2" t="s">
        <v>4</v>
      </c>
      <c r="B8" s="3">
        <v>46099</v>
      </c>
      <c r="C8" s="2" t="s">
        <v>5</v>
      </c>
      <c r="D8" s="2">
        <v>1450</v>
      </c>
    </row>
    <row r="9" spans="1:4">
      <c r="A9" s="2" t="s">
        <v>10</v>
      </c>
      <c r="B9" s="3">
        <v>46106</v>
      </c>
      <c r="C9" s="2" t="s">
        <v>5</v>
      </c>
      <c r="D9" s="2">
        <v>1850</v>
      </c>
    </row>
    <row r="10" spans="1:4">
      <c r="A10" s="2" t="s">
        <v>8</v>
      </c>
      <c r="B10" s="3">
        <v>46114</v>
      </c>
      <c r="C10" s="2" t="s">
        <v>7</v>
      </c>
      <c r="D10" s="2">
        <v>0</v>
      </c>
    </row>
    <row r="11" spans="1:4">
      <c r="A11" s="2" t="s">
        <v>6</v>
      </c>
      <c r="B11" s="3">
        <v>46127</v>
      </c>
      <c r="C11" s="2" t="s">
        <v>5</v>
      </c>
      <c r="D11" s="2">
        <v>1100</v>
      </c>
    </row>
    <row r="12" spans="1:4">
      <c r="A12" s="2" t="s">
        <v>10</v>
      </c>
      <c r="B12" s="3">
        <v>46140</v>
      </c>
      <c r="C12" s="2" t="s">
        <v>9</v>
      </c>
      <c r="D12" s="2">
        <v>1950</v>
      </c>
    </row>
    <row r="13" spans="1:4">
      <c r="A13" s="2" t="s">
        <v>8</v>
      </c>
      <c r="B13" s="3">
        <v>46148</v>
      </c>
      <c r="C13" s="2" t="s">
        <v>9</v>
      </c>
      <c r="D13" s="2">
        <v>2200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12E3F-C70A-4A17-B0A2-871E528F097B}">
  <dimension ref="A1:E36"/>
  <sheetViews>
    <sheetView tabSelected="1" topLeftCell="A26" workbookViewId="0">
      <selection activeCell="A36" sqref="A36"/>
    </sheetView>
  </sheetViews>
  <sheetFormatPr defaultRowHeight="13.7"/>
  <cols>
    <col min="1" max="1" width="11.44140625" bestFit="1" customWidth="1"/>
    <col min="2" max="3" width="10.44140625" bestFit="1" customWidth="1"/>
    <col min="4" max="4" width="10.33203125" bestFit="1" customWidth="1"/>
  </cols>
  <sheetData>
    <row r="1" spans="1:5">
      <c r="A1" t="e" cm="1" vm="1">
        <f t="array" ref="A1">_xlfn._xlws.PY(0,1,customer_activity[#All])</f>
        <v>#VALUE!</v>
      </c>
    </row>
    <row r="3" spans="1:5">
      <c r="A3" t="str" cm="1">
        <f t="array" ref="A3:E7">_xlfn._xlws.PY(1,0)</f>
        <v/>
      </c>
      <c r="B3" t="str">
        <v>customer</v>
      </c>
      <c r="C3" t="str">
        <v>activity_date</v>
      </c>
      <c r="D3" t="str">
        <v>activity_type</v>
      </c>
      <c r="E3" t="str">
        <v>amount</v>
      </c>
    </row>
    <row r="4" spans="1:5">
      <c r="A4">
        <v>6</v>
      </c>
      <c r="B4" t="str">
        <v>Acme Co</v>
      </c>
      <c r="C4" vm="2">
        <v>46099</v>
      </c>
      <c r="D4" t="str">
        <v>Purchase</v>
      </c>
      <c r="E4">
        <v>1450</v>
      </c>
    </row>
    <row r="5" spans="1:5">
      <c r="A5">
        <v>9</v>
      </c>
      <c r="B5" t="str">
        <v>Bravo LLC</v>
      </c>
      <c r="C5" vm="3">
        <v>46127</v>
      </c>
      <c r="D5" t="str">
        <v>Purchase</v>
      </c>
      <c r="E5">
        <v>1100</v>
      </c>
    </row>
    <row r="6" spans="1:5">
      <c r="A6">
        <v>10</v>
      </c>
      <c r="B6" t="str">
        <v>Cedar Group</v>
      </c>
      <c r="C6" vm="4">
        <v>46140</v>
      </c>
      <c r="D6" t="str">
        <v>Renewal</v>
      </c>
      <c r="E6">
        <v>1950</v>
      </c>
    </row>
    <row r="7" spans="1:5">
      <c r="A7">
        <v>11</v>
      </c>
      <c r="B7" t="str">
        <v>Delta Inc</v>
      </c>
      <c r="C7" vm="5">
        <v>46148</v>
      </c>
      <c r="D7" t="str">
        <v>Renewal</v>
      </c>
      <c r="E7">
        <v>2200</v>
      </c>
    </row>
    <row r="9" spans="1:5">
      <c r="A9" t="str" cm="1">
        <f t="array" ref="A9:D13">_xlfn._xlws.PY(2,0)</f>
        <v>customer</v>
      </c>
      <c r="B9" t="str">
        <v>activity_date</v>
      </c>
      <c r="C9" t="str">
        <v>activity_type</v>
      </c>
      <c r="D9" t="str">
        <v>amount</v>
      </c>
    </row>
    <row r="10" spans="1:5">
      <c r="A10" t="str">
        <v>Acme Co</v>
      </c>
      <c r="B10" vm="2">
        <v>46099</v>
      </c>
      <c r="C10" t="str">
        <v>Purchase</v>
      </c>
      <c r="D10">
        <v>1450</v>
      </c>
    </row>
    <row r="11" spans="1:5">
      <c r="A11" t="str">
        <v>Bravo LLC</v>
      </c>
      <c r="B11" vm="3">
        <v>46127</v>
      </c>
      <c r="C11" t="str">
        <v>Purchase</v>
      </c>
      <c r="D11">
        <v>1100</v>
      </c>
    </row>
    <row r="12" spans="1:5">
      <c r="A12" t="str">
        <v>Cedar Group</v>
      </c>
      <c r="B12" vm="4">
        <v>46140</v>
      </c>
      <c r="C12" t="str">
        <v>Renewal</v>
      </c>
      <c r="D12">
        <v>1950</v>
      </c>
    </row>
    <row r="13" spans="1:5">
      <c r="A13" t="str">
        <v>Delta Inc</v>
      </c>
      <c r="B13" vm="5">
        <v>46148</v>
      </c>
      <c r="C13" t="str">
        <v>Renewal</v>
      </c>
      <c r="D13">
        <v>2200</v>
      </c>
    </row>
    <row r="15" spans="1:5">
      <c r="A15" t="str" cm="1">
        <f t="array" ref="A15:D19">_xlfn._xlws.PY(3,0)</f>
        <v>customer</v>
      </c>
      <c r="B15" t="str">
        <v>activity_date</v>
      </c>
      <c r="C15" t="str">
        <v>activity_type</v>
      </c>
      <c r="D15" t="str">
        <v>amount</v>
      </c>
    </row>
    <row r="16" spans="1:5">
      <c r="A16" t="str">
        <v>Delta Inc</v>
      </c>
      <c r="B16" vm="5">
        <v>46148</v>
      </c>
      <c r="C16" t="str">
        <v>Renewal</v>
      </c>
      <c r="D16">
        <v>2200</v>
      </c>
    </row>
    <row r="17" spans="1:4">
      <c r="A17" t="str">
        <v>Cedar Group</v>
      </c>
      <c r="B17" vm="4">
        <v>46140</v>
      </c>
      <c r="C17" t="str">
        <v>Renewal</v>
      </c>
      <c r="D17">
        <v>1950</v>
      </c>
    </row>
    <row r="18" spans="1:4">
      <c r="A18" t="str">
        <v>Bravo LLC</v>
      </c>
      <c r="B18" vm="3">
        <v>46127</v>
      </c>
      <c r="C18" t="str">
        <v>Purchase</v>
      </c>
      <c r="D18">
        <v>1100</v>
      </c>
    </row>
    <row r="19" spans="1:4">
      <c r="A19" t="str">
        <v>Acme Co</v>
      </c>
      <c r="B19" vm="2">
        <v>46099</v>
      </c>
      <c r="C19" t="str">
        <v>Purchase</v>
      </c>
      <c r="D19">
        <v>1450</v>
      </c>
    </row>
    <row r="21" spans="1:4">
      <c r="A21" t="str" cm="1">
        <f t="array" ref="A21:D33">_xlfn._xlws.PY(4,0)</f>
        <v>customer</v>
      </c>
      <c r="B21" t="str">
        <v>activity_date</v>
      </c>
      <c r="C21" t="str">
        <v>activity_type</v>
      </c>
      <c r="D21" t="str">
        <v>amount</v>
      </c>
    </row>
    <row r="22" spans="1:4">
      <c r="A22" t="str">
        <v>Acme Co</v>
      </c>
      <c r="B22" vm="6">
        <v>46027</v>
      </c>
      <c r="C22" t="str">
        <v>Purchase</v>
      </c>
      <c r="D22">
        <v>1200</v>
      </c>
    </row>
    <row r="23" spans="1:4">
      <c r="A23" t="str">
        <v>Bravo LLC</v>
      </c>
      <c r="B23" vm="7">
        <v>46030</v>
      </c>
      <c r="C23" t="str">
        <v>Purchase</v>
      </c>
      <c r="D23">
        <v>750</v>
      </c>
    </row>
    <row r="24" spans="1:4">
      <c r="A24" t="str">
        <v>Cedar Group</v>
      </c>
      <c r="B24" vm="8">
        <v>46044</v>
      </c>
      <c r="C24" t="str">
        <v>Onboarding call</v>
      </c>
      <c r="D24">
        <v>0</v>
      </c>
    </row>
    <row r="25" spans="1:4">
      <c r="A25" t="str">
        <v>Acme Co</v>
      </c>
      <c r="B25" vm="9">
        <v>46067</v>
      </c>
      <c r="C25" t="str">
        <v>Support call</v>
      </c>
      <c r="D25">
        <v>0</v>
      </c>
    </row>
    <row r="26" spans="1:4">
      <c r="A26" t="str">
        <v>Delta Inc</v>
      </c>
      <c r="B26" vm="10">
        <v>46073</v>
      </c>
      <c r="C26" t="str">
        <v>Purchase</v>
      </c>
      <c r="D26">
        <v>2100</v>
      </c>
    </row>
    <row r="27" spans="1:4">
      <c r="A27" t="str">
        <v>Bravo LLC</v>
      </c>
      <c r="B27" vm="11">
        <v>46084</v>
      </c>
      <c r="C27" t="str">
        <v>Renewal</v>
      </c>
      <c r="D27">
        <v>900</v>
      </c>
    </row>
    <row r="28" spans="1:4">
      <c r="A28" t="str">
        <v>Acme Co</v>
      </c>
      <c r="B28" vm="2">
        <v>46099</v>
      </c>
      <c r="C28" t="str">
        <v>Purchase</v>
      </c>
      <c r="D28">
        <v>1450</v>
      </c>
    </row>
    <row r="29" spans="1:4">
      <c r="A29" t="str">
        <v>Cedar Group</v>
      </c>
      <c r="B29" vm="12">
        <v>46106</v>
      </c>
      <c r="C29" t="str">
        <v>Purchase</v>
      </c>
      <c r="D29">
        <v>1850</v>
      </c>
    </row>
    <row r="30" spans="1:4">
      <c r="A30" t="str">
        <v>Delta Inc</v>
      </c>
      <c r="B30" vm="13">
        <v>46114</v>
      </c>
      <c r="C30" t="str">
        <v>Support call</v>
      </c>
      <c r="D30">
        <v>0</v>
      </c>
    </row>
    <row r="31" spans="1:4">
      <c r="A31" t="str">
        <v>Bravo LLC</v>
      </c>
      <c r="B31" vm="3">
        <v>46127</v>
      </c>
      <c r="C31" t="str">
        <v>Purchase</v>
      </c>
      <c r="D31">
        <v>1100</v>
      </c>
    </row>
    <row r="32" spans="1:4">
      <c r="A32" t="str">
        <v>Cedar Group</v>
      </c>
      <c r="B32" vm="4">
        <v>46140</v>
      </c>
      <c r="C32" t="str">
        <v>Renewal</v>
      </c>
      <c r="D32">
        <v>1950</v>
      </c>
    </row>
    <row r="33" spans="1:4">
      <c r="A33" t="str">
        <v>Delta Inc</v>
      </c>
      <c r="B33" vm="5">
        <v>46148</v>
      </c>
      <c r="C33" t="str">
        <v>Renewal</v>
      </c>
      <c r="D33">
        <v>2200</v>
      </c>
    </row>
    <row r="36" spans="1:4">
      <c r="A36" t="e" cm="1" vm="14">
        <f t="array" ref="A36">_xlfn._xlws.PY(5,1)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Customer Activity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George Mount</cp:lastModifiedBy>
  <dcterms:modified xsi:type="dcterms:W3CDTF">2026-07-16T17:33:08Z</dcterms:modified>
</cp:coreProperties>
</file>
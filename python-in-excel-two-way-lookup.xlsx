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ocuments\GitHub\blog-files\"/>
    </mc:Choice>
  </mc:AlternateContent>
  <xr:revisionPtr revIDLastSave="0" documentId="8_{6A520A86-DE84-4528-B466-999ACFAFAFF9}" xr6:coauthVersionLast="47" xr6:coauthVersionMax="47" xr10:uidLastSave="{00000000-0000-0000-0000-000000000000}"/>
  <bookViews>
    <workbookView xWindow="-93" yWindow="-93" windowWidth="16826" windowHeight="11280" xr2:uid="{BC68B47E-19F2-41FC-8E73-73B52794998F}"/>
  </bookViews>
  <sheets>
    <sheet name="lookups" sheetId="1" r:id="rId1"/>
    <sheet name="helper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8" i="1" l="1" a="1"/>
  <c r="A8" i="1" l="1"/>
  <c r="A16" i="1" a="1"/>
  <c r="A16" i="1" l="1"/>
  <c r="A18" i="1" a="1"/>
  <c r="A18" i="1" l="1"/>
  <c r="A22" i="1" a="1"/>
  <c r="A22" i="1" l="1"/>
  <c r="A28" i="1" a="1"/>
  <c r="A28" i="1" l="1"/>
  <c r="A1" i="2" s="1" a="1"/>
  <c r="D28" i="1" a="1"/>
  <c r="A1" i="2" l="1"/>
  <c r="D28" i="1"/>
  <c r="C1" i="2" l="1" a="1"/>
  <c r="C1" i="2" l="1"/>
  <c r="A34" i="1" a="1"/>
  <c r="A34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movies_df = xl(%P2%, headers=True)
movies_df = movies_df.set_index('Movie')</code>
    </pythonScript>
    <pythonScript>
      <code>movies_df.loc['Casablanca', 'Reviews']</code>
    </pythonScript>
    <pythonScript>
      <code>movies_df.loc['Casablanca', ['Year', 'Rating']]</code>
    </pythonScript>
    <pythonScript>
      <code>movies_df.loc[['Casablanca', 'The Kid'], ['Year', 'Rating']]</code>
    </pythonScript>
    <pythonScript>
      <code>movies_df.index</code>
    </pythonScript>
    <pythonScript>
      <code>movies_df.columns</code>
    </pythonScript>
    <pythonScript>
      <code>def force_to_list(value):
    if isinstance(value, pd.DataFrame):
        return value.values.flatten().tolist()
    elif isinstance(value, str):
        return [value]  # Wrap single string in a list
    elif hasattr(value, '__iter__') and not isinstance(value, str):
        return list(value)  # Handle other iterable types
    else:
        return [value]  # Wrap scalars in a list
#movies_df.loc[['Casablanca', 'The Kid'], ['Year', 'Rating']]  
movies_df.loc[force_to_list(xl(%P2%)),
              force_to_list(xl(%P3%))]</code>
    </pythonScript>
  </pythonScripts>
</python>
</file>

<file path=xl/sharedStrings.xml><?xml version="1.0" encoding="utf-8"?>
<sst xmlns="http://schemas.openxmlformats.org/spreadsheetml/2006/main" count="11" uniqueCount="11">
  <si>
    <t>Movie</t>
  </si>
  <si>
    <t>Year</t>
  </si>
  <si>
    <t>Reviews</t>
  </si>
  <si>
    <t>Rating</t>
  </si>
  <si>
    <t>Citizen Kane</t>
  </si>
  <si>
    <t>Casablanca</t>
  </si>
  <si>
    <t>Wizard of Oz</t>
  </si>
  <si>
    <t>Modern Times</t>
  </si>
  <si>
    <t>The Kid</t>
  </si>
  <si>
    <t>Choose metrics:</t>
  </si>
  <si>
    <t>Choose movies: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</si>
</sst>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3" x14ac:knownFonts="1">
    <font>
      <sz val="18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u/>
      <sz val="18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37" fontId="0" fillId="0" borderId="0" xfId="0" applyNumberFormat="1"/>
    <xf numFmtId="9" fontId="0" fillId="0" borderId="0" xfId="0" applyNumberFormat="1"/>
    <xf numFmtId="0" fontId="2" fillId="0" borderId="0" xfId="0" applyFont="1" applyAlignment="1">
      <alignment horizontal="center"/>
    </xf>
    <xf numFmtId="0" fontId="1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5" formatCode="#,##0_);\(#,##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164" formatCode="0_);\(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8"/>
        <color theme="0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23/09/relationships/Python" Target="pytho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6E102C-1449-4F90-8B3D-FC0A64397E52}" name="movies" displayName="movies" ref="A1:D6" totalsRowShown="0" headerRowDxfId="5" dataDxfId="4">
  <autoFilter ref="A1:D6" xr:uid="{C86E102C-1449-4F90-8B3D-FC0A64397E52}"/>
  <tableColumns count="4">
    <tableColumn id="1" xr3:uid="{93C47F8F-5241-44DD-8ABA-D8AD7929241C}" name="Movie" dataDxfId="3"/>
    <tableColumn id="2" xr3:uid="{BD879CB6-1B54-4885-9444-4C4E9399B51C}" name="Year" dataDxfId="2"/>
    <tableColumn id="3" xr3:uid="{D3E62A7D-D54A-461B-9073-8C600EBA2AB7}" name="Reviews" dataDxfId="1"/>
    <tableColumn id="4" xr3:uid="{BAC2EA53-F9C3-434D-BF51-22ED712B8B0A}" name="Rat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3E01B-3163-4F02-BF04-459ED96DD031}">
  <dimension ref="A1:E38"/>
  <sheetViews>
    <sheetView tabSelected="1" workbookViewId="0">
      <selection activeCell="A34" sqref="A34"/>
    </sheetView>
  </sheetViews>
  <sheetFormatPr defaultRowHeight="24" x14ac:dyDescent="0.85"/>
  <cols>
    <col min="1" max="1" width="13.33203125" bestFit="1" customWidth="1"/>
    <col min="2" max="2" width="10.109375" bestFit="1" customWidth="1"/>
    <col min="3" max="3" width="8.73828125" bestFit="1" customWidth="1"/>
    <col min="6" max="6" width="11.8125" bestFit="1" customWidth="1"/>
    <col min="7" max="7" width="11.8125" customWidth="1"/>
    <col min="9" max="9" width="8.73828125" bestFit="1" customWidth="1"/>
  </cols>
  <sheetData>
    <row r="1" spans="1:4" s="5" customFormat="1" x14ac:dyDescent="0.8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85">
      <c r="A2" t="s">
        <v>4</v>
      </c>
      <c r="B2" s="1">
        <v>1941</v>
      </c>
      <c r="C2" s="2">
        <v>116</v>
      </c>
      <c r="D2" s="3">
        <v>0.99</v>
      </c>
    </row>
    <row r="3" spans="1:4" x14ac:dyDescent="0.85">
      <c r="A3" t="s">
        <v>5</v>
      </c>
      <c r="B3" s="1">
        <v>1942</v>
      </c>
      <c r="C3" s="2">
        <v>122</v>
      </c>
      <c r="D3" s="3">
        <v>0.99</v>
      </c>
    </row>
    <row r="4" spans="1:4" x14ac:dyDescent="0.85">
      <c r="A4" t="s">
        <v>6</v>
      </c>
      <c r="B4" s="1">
        <v>1939</v>
      </c>
      <c r="C4" s="2">
        <v>121</v>
      </c>
      <c r="D4" s="3">
        <v>0.98</v>
      </c>
    </row>
    <row r="5" spans="1:4" x14ac:dyDescent="0.85">
      <c r="A5" t="s">
        <v>7</v>
      </c>
      <c r="B5" s="1">
        <v>1936</v>
      </c>
      <c r="C5" s="2">
        <v>61</v>
      </c>
      <c r="D5" s="3">
        <v>1</v>
      </c>
    </row>
    <row r="6" spans="1:4" x14ac:dyDescent="0.85">
      <c r="A6" t="s">
        <v>8</v>
      </c>
      <c r="B6" s="1">
        <v>1921</v>
      </c>
      <c r="C6" s="2">
        <v>44</v>
      </c>
      <c r="D6" s="3">
        <v>1</v>
      </c>
    </row>
    <row r="8" spans="1:4" x14ac:dyDescent="0.85">
      <c r="A8" t="str" cm="1">
        <f t="array" ref="A8:D14">_xlfn._xlws.PY(0,0,movies[#All])</f>
        <v/>
      </c>
      <c r="B8" t="str">
        <v>Year</v>
      </c>
      <c r="C8" t="str">
        <v>Reviews</v>
      </c>
      <c r="D8" t="str">
        <v>Rating</v>
      </c>
    </row>
    <row r="9" spans="1:4" x14ac:dyDescent="0.85">
      <c r="A9" t="str">
        <v>Movie</v>
      </c>
      <c r="B9" t="str">
        <v/>
      </c>
      <c r="C9" t="str">
        <v/>
      </c>
      <c r="D9" t="str">
        <v/>
      </c>
    </row>
    <row r="10" spans="1:4" x14ac:dyDescent="0.85">
      <c r="A10" t="str">
        <v>Citizen Kane</v>
      </c>
      <c r="B10">
        <v>1941</v>
      </c>
      <c r="C10">
        <v>116</v>
      </c>
      <c r="D10" s="3">
        <v>0.99</v>
      </c>
    </row>
    <row r="11" spans="1:4" x14ac:dyDescent="0.85">
      <c r="A11" t="str">
        <v>Casablanca</v>
      </c>
      <c r="B11">
        <v>1942</v>
      </c>
      <c r="C11">
        <v>122</v>
      </c>
      <c r="D11" s="3">
        <v>0.99</v>
      </c>
    </row>
    <row r="12" spans="1:4" x14ac:dyDescent="0.85">
      <c r="A12" t="str">
        <v>Wizard of Oz</v>
      </c>
      <c r="B12">
        <v>1939</v>
      </c>
      <c r="C12">
        <v>121</v>
      </c>
      <c r="D12" s="3">
        <v>0.98</v>
      </c>
    </row>
    <row r="13" spans="1:4" x14ac:dyDescent="0.85">
      <c r="A13" t="str">
        <v>Modern Times</v>
      </c>
      <c r="B13">
        <v>1936</v>
      </c>
      <c r="C13">
        <v>61</v>
      </c>
      <c r="D13" s="3">
        <v>1</v>
      </c>
    </row>
    <row r="14" spans="1:4" x14ac:dyDescent="0.85">
      <c r="A14" t="str">
        <v>The Kid</v>
      </c>
      <c r="B14">
        <v>1921</v>
      </c>
      <c r="C14">
        <v>44</v>
      </c>
      <c r="D14" s="3">
        <v>1</v>
      </c>
    </row>
    <row r="16" spans="1:4" x14ac:dyDescent="0.85">
      <c r="A16" cm="1">
        <f t="array" ref="A16">_xlfn._xlws.PY(1,0)</f>
        <v>122</v>
      </c>
    </row>
    <row r="18" spans="1:5" x14ac:dyDescent="0.85">
      <c r="A18" t="str" cm="1">
        <f t="array" ref="A18:B20">_xlfn._xlws.PY(2,0)</f>
        <v/>
      </c>
      <c r="B18" t="str">
        <v>Casablanca</v>
      </c>
    </row>
    <row r="19" spans="1:5" x14ac:dyDescent="0.85">
      <c r="A19" t="str">
        <v>Year</v>
      </c>
      <c r="B19">
        <v>1942</v>
      </c>
    </row>
    <row r="20" spans="1:5" x14ac:dyDescent="0.85">
      <c r="A20" t="str">
        <v>Rating</v>
      </c>
      <c r="B20" s="3">
        <v>0.99</v>
      </c>
    </row>
    <row r="22" spans="1:5" x14ac:dyDescent="0.85">
      <c r="A22" t="str" cm="1">
        <f t="array" ref="A22:C25">_xlfn._xlws.PY(3,0)</f>
        <v/>
      </c>
      <c r="B22" t="str">
        <v>Year</v>
      </c>
      <c r="C22" t="str">
        <v>Rating</v>
      </c>
    </row>
    <row r="23" spans="1:5" x14ac:dyDescent="0.85">
      <c r="A23" t="str">
        <v>Movie</v>
      </c>
      <c r="B23" t="str">
        <v/>
      </c>
      <c r="C23" t="str">
        <v/>
      </c>
    </row>
    <row r="24" spans="1:5" x14ac:dyDescent="0.85">
      <c r="A24" t="str">
        <v>Casablanca</v>
      </c>
      <c r="B24">
        <v>1942</v>
      </c>
      <c r="C24" s="3">
        <v>0.99</v>
      </c>
    </row>
    <row r="25" spans="1:5" x14ac:dyDescent="0.85">
      <c r="A25" t="str">
        <v>The Kid</v>
      </c>
      <c r="B25">
        <v>1921</v>
      </c>
      <c r="C25" s="3">
        <v>1</v>
      </c>
    </row>
    <row r="27" spans="1:5" x14ac:dyDescent="0.85">
      <c r="A27" t="s">
        <v>10</v>
      </c>
      <c r="D27" t="s">
        <v>9</v>
      </c>
    </row>
    <row r="28" spans="1:5" x14ac:dyDescent="0.85">
      <c r="A28" t="str" cm="1">
        <f t="array" ref="A28:A32">_xlfn._xlws.PY(4,0)</f>
        <v>Citizen Kane</v>
      </c>
      <c r="B28" s="6" t="b">
        <v>1</v>
      </c>
      <c r="D28" t="str" cm="1">
        <f t="array" ref="D28:D30">_xlfn._xlws.PY(5,0)</f>
        <v>Year</v>
      </c>
      <c r="E28" s="6" t="b">
        <v>1</v>
      </c>
    </row>
    <row r="29" spans="1:5" x14ac:dyDescent="0.85">
      <c r="A29" t="str">
        <v>Casablanca</v>
      </c>
      <c r="B29" s="6" t="b">
        <v>1</v>
      </c>
      <c r="D29" t="str">
        <v>Reviews</v>
      </c>
      <c r="E29" s="6" t="b">
        <v>1</v>
      </c>
    </row>
    <row r="30" spans="1:5" x14ac:dyDescent="0.85">
      <c r="A30" t="str">
        <v>Wizard of Oz</v>
      </c>
      <c r="B30" s="6" t="b">
        <v>1</v>
      </c>
      <c r="D30" t="str">
        <v>Rating</v>
      </c>
      <c r="E30" s="6" t="b">
        <v>1</v>
      </c>
    </row>
    <row r="31" spans="1:5" x14ac:dyDescent="0.85">
      <c r="A31" t="str">
        <v>Modern Times</v>
      </c>
      <c r="B31" s="6" t="b">
        <v>0</v>
      </c>
    </row>
    <row r="32" spans="1:5" x14ac:dyDescent="0.85">
      <c r="A32" t="str">
        <v>The Kid</v>
      </c>
      <c r="B32" s="6" t="b">
        <v>0</v>
      </c>
      <c r="D32" s="7"/>
    </row>
    <row r="33" spans="1:4" x14ac:dyDescent="0.85">
      <c r="D33" s="7"/>
    </row>
    <row r="34" spans="1:4" x14ac:dyDescent="0.85">
      <c r="A34" t="str" cm="1">
        <f t="array" aca="1" ref="A34:D38" ca="1">_xlfn._xlws.PY(6,0,_xlfn.ANCHORARRAY(helper!A1),_xlfn.ANCHORARRAY(helper!C1))</f>
        <v/>
      </c>
      <c r="B34" t="str">
        <f ca="1"/>
        <v>Year</v>
      </c>
      <c r="C34" t="str">
        <f ca="1"/>
        <v>Reviews</v>
      </c>
      <c r="D34" s="7" t="str">
        <f ca="1"/>
        <v>Rating</v>
      </c>
    </row>
    <row r="35" spans="1:4" x14ac:dyDescent="0.85">
      <c r="A35" t="str">
        <f ca="1"/>
        <v>Movie</v>
      </c>
      <c r="B35" t="str">
        <f ca="1"/>
        <v/>
      </c>
      <c r="C35" t="str">
        <f ca="1"/>
        <v/>
      </c>
      <c r="D35" s="8" t="str">
        <f ca="1"/>
        <v/>
      </c>
    </row>
    <row r="36" spans="1:4" x14ac:dyDescent="0.85">
      <c r="A36" t="str">
        <f ca="1"/>
        <v>Citizen Kane</v>
      </c>
      <c r="B36">
        <f ca="1"/>
        <v>1941</v>
      </c>
      <c r="C36">
        <f ca="1"/>
        <v>116</v>
      </c>
      <c r="D36" s="8">
        <f ca="1"/>
        <v>0.99</v>
      </c>
    </row>
    <row r="37" spans="1:4" x14ac:dyDescent="0.85">
      <c r="A37" t="str">
        <f ca="1"/>
        <v>Casablanca</v>
      </c>
      <c r="B37">
        <f ca="1"/>
        <v>1942</v>
      </c>
      <c r="C37">
        <f ca="1"/>
        <v>122</v>
      </c>
      <c r="D37" s="8">
        <f ca="1"/>
        <v>0.99</v>
      </c>
    </row>
    <row r="38" spans="1:4" x14ac:dyDescent="0.85">
      <c r="A38" t="str">
        <f ca="1"/>
        <v>Wizard of Oz</v>
      </c>
      <c r="B38">
        <f ca="1"/>
        <v>1939</v>
      </c>
      <c r="C38">
        <f ca="1"/>
        <v>121</v>
      </c>
      <c r="D38" s="8">
        <f ca="1"/>
        <v>0.98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F633-203C-4328-BA08-0372D60685C7}">
  <dimension ref="A1:C3"/>
  <sheetViews>
    <sheetView workbookViewId="0">
      <selection activeCell="B7" sqref="B7"/>
    </sheetView>
  </sheetViews>
  <sheetFormatPr defaultRowHeight="24" x14ac:dyDescent="0.85"/>
  <sheetData>
    <row r="1" spans="1:3" x14ac:dyDescent="0.85">
      <c r="A1" t="str" cm="1">
        <f t="array" aca="1" ref="A1:A3" ca="1">_xlfn._xlws.FILTER(_xlfn.ANCHORARRAY(lookups!A28), OFFSET(_xlfn.ANCHORARRAY(lookups!A28), , 1) = TRUE)</f>
        <v>Citizen Kane</v>
      </c>
      <c r="C1" t="str" cm="1">
        <f t="array" aca="1" ref="C1:C3" ca="1">_xlfn._xlws.FILTER(_xlfn.ANCHORARRAY(lookups!D28), OFFSET(_xlfn.ANCHORARRAY(lookups!D28), , 1) = TRUE)</f>
        <v>Year</v>
      </c>
    </row>
    <row r="2" spans="1:3" x14ac:dyDescent="0.85">
      <c r="A2" t="str">
        <f ca="1"/>
        <v>Casablanca</v>
      </c>
      <c r="C2" t="str">
        <f ca="1"/>
        <v>Reviews</v>
      </c>
    </row>
    <row r="3" spans="1:3" x14ac:dyDescent="0.85">
      <c r="A3" t="str">
        <f ca="1"/>
        <v>Wizard of Oz</v>
      </c>
      <c r="C3" t="str">
        <f ca="1"/>
        <v>Rating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lookups</vt:lpstr>
      <vt:lpstr>helper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2026-06-29T23:27:09Z</dcterms:created>
  <dcterms:modified xsi:type="dcterms:W3CDTF">2026-07-03T22:41:47Z</dcterms:modified>
</cp:coreProperties>
</file>
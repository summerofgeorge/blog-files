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python.xml" ContentType="application/vnd.ms-excel.pyth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C:\Users\GeorgeMount\Documents\GitHub\blog-files\"/>
    </mc:Choice>
  </mc:AlternateContent>
  <xr:revisionPtr revIDLastSave="0" documentId="8_{25747346-B367-4B3E-B88B-FD8ACFD544EF}" xr6:coauthVersionLast="47" xr6:coauthVersionMax="47" xr10:uidLastSave="{00000000-0000-0000-0000-000000000000}"/>
  <bookViews>
    <workbookView xWindow="-98" yWindow="-98" windowWidth="18915" windowHeight="12676" firstSheet="1" activeTab="1" xr2:uid="{00000000-000D-0000-FFFF-FFFF00000000}"/>
  </bookViews>
  <sheets>
    <sheet name="Invoices" sheetId="2" r:id="rId1"/>
    <sheet name="Survival Analysis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 a="1"/>
  <c r="B2" i="3"/>
  <c r="B9" i="3" s="1" a="1"/>
  <c r="B9" i="3" s="1"/>
  <c r="B22" i="3" s="1" a="1"/>
  <c r="B22" i="3" s="1"/>
  <c r="B45" i="3" s="1" a="1"/>
  <c r="B45" i="3" s="1"/>
  <c r="B51" i="3" l="1" a="1"/>
  <c r="B51" i="3" s="1"/>
  <c r="B53" i="3" s="1" a="1"/>
  <c r="B53" i="3" s="1"/>
  <c r="B77" i="3" s="1" a="1"/>
  <c r="B77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1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</futureMetadata>
  <cellMetadata count="1">
    <bk>
      <rc t="1" v="0"/>
    </bk>
  </cellMetadata>
  <valueMetadata count="11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import statsmodels.api as sm
invoices_df = xl(%P2%, headers=True)
invoices_df.head()</code>
    </pythonScript>
    <pythonScript>
      <code>payment_survival = sm.SurvfuncRight(
    invoices_df["days_observed"],
    invoices_df["paid"]
)
payment_survival.summary().head(10)</code>
    </pythonScript>
    <pythonScript>
      <code>fig, ax = plt.subplots()
ax.step(
    np.r_[0, payment_survival.surv_times],
    np.r_[1, payment_survival.surv_prob],
    where="post"
)
ax.set_xlabel("Days since invoice")
ax.set_ylabel("Probability invoice remains unpaid")
ax.set_title("Invoice payment survival curve")
ax.set_ylim(0, 1)
fig</code>
    </pythonScript>
    <pythonScript>
      <code xml:space="preserve">def survival_at_day(survival, day):
    index = np.searchsorted(
        survival.surv_times,
        day,
        side="right"
    ) - 1
    if index &lt; 0:
        return 1.0
    return survival.surv_prob[index]
check_days = [30, 45, 60]
pd.DataFrame({
    "days_since_invoice": check_days,
    "probability_unpaid": [
        survival_at_day(payment_survival, day)
        for day in check_days
    ]
})
</code>
    </pythonScript>
    <pythonScript>
      <code>median_payment_days = payment_survival.quantile(0.5)
median_payment_days</code>
    </pythonScript>
    <pythonScript>
      <code>fig, ax = plt.subplots()
for segment, group in invoices_df.groupby("customer_segment"):
    segment_survival = sm.SurvfuncRight(
        group["days_observed"],
        group["paid"]
    )
    ax.step(
        np.r_[0, segment_survival.surv_times],
        np.r_[1, segment_survival.surv_prob],
        where="post",
        label=segment
    )
ax.set_xlabel("Days since invoice")
ax.set_ylabel("Probability invoice remains unpaid")
ax.set_title("Invoice payment patterns by customer segment")
ax.set_ylim(0, 1)
ax.legend()
fig</code>
    </pythonScript>
    <pythonScript>
      <code>segment_medians = []
for segment, group in invoices_df.groupby("customer_segment"):
    segment_survival = sm.SurvfuncRight(
        group["days_observed"],
        group["paid"]
    )
    segment_medians.append({
        "customer_segment": segment,
        "median_payment_days": segment_survival.quantile(0.5)
    })
pd.DataFrame(segment_medians)</code>
    </pythonScript>
  </pythonScripts>
</python>
</file>

<file path=xl/sharedStrings.xml><?xml version="1.0" encoding="utf-8"?>
<sst xmlns="http://schemas.openxmlformats.org/spreadsheetml/2006/main" count="808" uniqueCount="411">
  <si>
    <t>invoice_id</t>
  </si>
  <si>
    <t>issue_date</t>
  </si>
  <si>
    <t>customer_segment</t>
  </si>
  <si>
    <t>invoice_amount</t>
  </si>
  <si>
    <t>payment_terms_days</t>
  </si>
  <si>
    <t>payment_date</t>
  </si>
  <si>
    <t>days_observed</t>
  </si>
  <si>
    <t>paid</t>
  </si>
  <si>
    <t>INV-0001</t>
  </si>
  <si>
    <t>Small Business</t>
  </si>
  <si>
    <t>INV-0002</t>
  </si>
  <si>
    <t>Mid-market</t>
  </si>
  <si>
    <t>INV-0003</t>
  </si>
  <si>
    <t>INV-0004</t>
  </si>
  <si>
    <t>INV-0005</t>
  </si>
  <si>
    <t>Enterprise</t>
  </si>
  <si>
    <t>INV-0006</t>
  </si>
  <si>
    <t>INV-0007</t>
  </si>
  <si>
    <t>INV-0008</t>
  </si>
  <si>
    <t>INV-0009</t>
  </si>
  <si>
    <t>INV-0010</t>
  </si>
  <si>
    <t>INV-0011</t>
  </si>
  <si>
    <t>INV-0012</t>
  </si>
  <si>
    <t>INV-0013</t>
  </si>
  <si>
    <t>INV-0014</t>
  </si>
  <si>
    <t>INV-0015</t>
  </si>
  <si>
    <t>INV-0016</t>
  </si>
  <si>
    <t>INV-0017</t>
  </si>
  <si>
    <t>INV-0018</t>
  </si>
  <si>
    <t>INV-0019</t>
  </si>
  <si>
    <t>INV-0020</t>
  </si>
  <si>
    <t>INV-0021</t>
  </si>
  <si>
    <t>INV-0022</t>
  </si>
  <si>
    <t>INV-0023</t>
  </si>
  <si>
    <t>INV-0024</t>
  </si>
  <si>
    <t>INV-0025</t>
  </si>
  <si>
    <t>INV-0026</t>
  </si>
  <si>
    <t>INV-0027</t>
  </si>
  <si>
    <t>INV-0028</t>
  </si>
  <si>
    <t>INV-0029</t>
  </si>
  <si>
    <t>INV-0030</t>
  </si>
  <si>
    <t>INV-0031</t>
  </si>
  <si>
    <t>INV-0032</t>
  </si>
  <si>
    <t>INV-0033</t>
  </si>
  <si>
    <t>INV-0034</t>
  </si>
  <si>
    <t>INV-0035</t>
  </si>
  <si>
    <t>INV-0036</t>
  </si>
  <si>
    <t>INV-0037</t>
  </si>
  <si>
    <t>INV-0038</t>
  </si>
  <si>
    <t>INV-0039</t>
  </si>
  <si>
    <t>INV-0040</t>
  </si>
  <si>
    <t>INV-0041</t>
  </si>
  <si>
    <t>INV-0042</t>
  </si>
  <si>
    <t>INV-0043</t>
  </si>
  <si>
    <t>INV-0044</t>
  </si>
  <si>
    <t>INV-0045</t>
  </si>
  <si>
    <t>INV-0046</t>
  </si>
  <si>
    <t>INV-0047</t>
  </si>
  <si>
    <t>INV-0048</t>
  </si>
  <si>
    <t>INV-0049</t>
  </si>
  <si>
    <t>INV-0050</t>
  </si>
  <si>
    <t>INV-0051</t>
  </si>
  <si>
    <t>INV-0052</t>
  </si>
  <si>
    <t>INV-0053</t>
  </si>
  <si>
    <t>INV-0054</t>
  </si>
  <si>
    <t>INV-0055</t>
  </si>
  <si>
    <t>INV-0056</t>
  </si>
  <si>
    <t>INV-0057</t>
  </si>
  <si>
    <t>INV-0058</t>
  </si>
  <si>
    <t>INV-0059</t>
  </si>
  <si>
    <t>INV-0060</t>
  </si>
  <si>
    <t>INV-0061</t>
  </si>
  <si>
    <t>INV-0062</t>
  </si>
  <si>
    <t>INV-0063</t>
  </si>
  <si>
    <t>INV-0064</t>
  </si>
  <si>
    <t>INV-0065</t>
  </si>
  <si>
    <t>INV-0066</t>
  </si>
  <si>
    <t>INV-0067</t>
  </si>
  <si>
    <t>INV-0068</t>
  </si>
  <si>
    <t>INV-0069</t>
  </si>
  <si>
    <t>INV-0070</t>
  </si>
  <si>
    <t>INV-0071</t>
  </si>
  <si>
    <t>INV-0072</t>
  </si>
  <si>
    <t>INV-0073</t>
  </si>
  <si>
    <t>INV-0074</t>
  </si>
  <si>
    <t>INV-0075</t>
  </si>
  <si>
    <t>INV-0076</t>
  </si>
  <si>
    <t>INV-0077</t>
  </si>
  <si>
    <t>INV-0078</t>
  </si>
  <si>
    <t>INV-0079</t>
  </si>
  <si>
    <t>INV-0080</t>
  </si>
  <si>
    <t>INV-0081</t>
  </si>
  <si>
    <t>INV-0082</t>
  </si>
  <si>
    <t>INV-0083</t>
  </si>
  <si>
    <t>INV-0084</t>
  </si>
  <si>
    <t>INV-0085</t>
  </si>
  <si>
    <t>INV-0086</t>
  </si>
  <si>
    <t>INV-0087</t>
  </si>
  <si>
    <t>INV-0088</t>
  </si>
  <si>
    <t>INV-0089</t>
  </si>
  <si>
    <t>INV-0090</t>
  </si>
  <si>
    <t>INV-0091</t>
  </si>
  <si>
    <t>INV-0092</t>
  </si>
  <si>
    <t>INV-0093</t>
  </si>
  <si>
    <t>INV-0094</t>
  </si>
  <si>
    <t>INV-0095</t>
  </si>
  <si>
    <t>INV-0096</t>
  </si>
  <si>
    <t>INV-0097</t>
  </si>
  <si>
    <t>INV-0098</t>
  </si>
  <si>
    <t>INV-0099</t>
  </si>
  <si>
    <t>INV-0100</t>
  </si>
  <si>
    <t>INV-0101</t>
  </si>
  <si>
    <t>INV-0102</t>
  </si>
  <si>
    <t>INV-0103</t>
  </si>
  <si>
    <t>INV-0104</t>
  </si>
  <si>
    <t>INV-0105</t>
  </si>
  <si>
    <t>INV-0106</t>
  </si>
  <si>
    <t>INV-0107</t>
  </si>
  <si>
    <t>INV-0108</t>
  </si>
  <si>
    <t>INV-0109</t>
  </si>
  <si>
    <t>INV-0110</t>
  </si>
  <si>
    <t>INV-0111</t>
  </si>
  <si>
    <t>INV-0112</t>
  </si>
  <si>
    <t>INV-0113</t>
  </si>
  <si>
    <t>INV-0114</t>
  </si>
  <si>
    <t>INV-0115</t>
  </si>
  <si>
    <t>INV-0116</t>
  </si>
  <si>
    <t>INV-0117</t>
  </si>
  <si>
    <t>INV-0118</t>
  </si>
  <si>
    <t>INV-0119</t>
  </si>
  <si>
    <t>INV-0120</t>
  </si>
  <si>
    <t>INV-0121</t>
  </si>
  <si>
    <t>INV-0122</t>
  </si>
  <si>
    <t>INV-0123</t>
  </si>
  <si>
    <t>INV-0124</t>
  </si>
  <si>
    <t>INV-0125</t>
  </si>
  <si>
    <t>INV-0126</t>
  </si>
  <si>
    <t>INV-0127</t>
  </si>
  <si>
    <t>INV-0128</t>
  </si>
  <si>
    <t>INV-0129</t>
  </si>
  <si>
    <t>INV-0130</t>
  </si>
  <si>
    <t>INV-0131</t>
  </si>
  <si>
    <t>INV-0132</t>
  </si>
  <si>
    <t>INV-0133</t>
  </si>
  <si>
    <t>INV-0134</t>
  </si>
  <si>
    <t>INV-0135</t>
  </si>
  <si>
    <t>INV-0136</t>
  </si>
  <si>
    <t>INV-0137</t>
  </si>
  <si>
    <t>INV-0138</t>
  </si>
  <si>
    <t>INV-0139</t>
  </si>
  <si>
    <t>INV-0140</t>
  </si>
  <si>
    <t>INV-0141</t>
  </si>
  <si>
    <t>INV-0142</t>
  </si>
  <si>
    <t>INV-0143</t>
  </si>
  <si>
    <t>INV-0144</t>
  </si>
  <si>
    <t>INV-0145</t>
  </si>
  <si>
    <t>INV-0146</t>
  </si>
  <si>
    <t>INV-0147</t>
  </si>
  <si>
    <t>INV-0148</t>
  </si>
  <si>
    <t>INV-0149</t>
  </si>
  <si>
    <t>INV-0150</t>
  </si>
  <si>
    <t>INV-0151</t>
  </si>
  <si>
    <t>INV-0152</t>
  </si>
  <si>
    <t>INV-0153</t>
  </si>
  <si>
    <t>INV-0154</t>
  </si>
  <si>
    <t>INV-0155</t>
  </si>
  <si>
    <t>INV-0156</t>
  </si>
  <si>
    <t>INV-0157</t>
  </si>
  <si>
    <t>INV-0158</t>
  </si>
  <si>
    <t>INV-0159</t>
  </si>
  <si>
    <t>INV-0160</t>
  </si>
  <si>
    <t>INV-0161</t>
  </si>
  <si>
    <t>INV-0162</t>
  </si>
  <si>
    <t>INV-0163</t>
  </si>
  <si>
    <t>INV-0164</t>
  </si>
  <si>
    <t>INV-0165</t>
  </si>
  <si>
    <t>INV-0166</t>
  </si>
  <si>
    <t>INV-0167</t>
  </si>
  <si>
    <t>INV-0168</t>
  </si>
  <si>
    <t>INV-0169</t>
  </si>
  <si>
    <t>INV-0170</t>
  </si>
  <si>
    <t>INV-0171</t>
  </si>
  <si>
    <t>INV-0172</t>
  </si>
  <si>
    <t>INV-0173</t>
  </si>
  <si>
    <t>INV-0174</t>
  </si>
  <si>
    <t>INV-0175</t>
  </si>
  <si>
    <t>INV-0176</t>
  </si>
  <si>
    <t>INV-0177</t>
  </si>
  <si>
    <t>INV-0178</t>
  </si>
  <si>
    <t>INV-0179</t>
  </si>
  <si>
    <t>INV-0180</t>
  </si>
  <si>
    <t>INV-0181</t>
  </si>
  <si>
    <t>INV-0182</t>
  </si>
  <si>
    <t>INV-0183</t>
  </si>
  <si>
    <t>INV-0184</t>
  </si>
  <si>
    <t>INV-0185</t>
  </si>
  <si>
    <t>INV-0186</t>
  </si>
  <si>
    <t>INV-0187</t>
  </si>
  <si>
    <t>INV-0188</t>
  </si>
  <si>
    <t>INV-0189</t>
  </si>
  <si>
    <t>INV-0190</t>
  </si>
  <si>
    <t>INV-0191</t>
  </si>
  <si>
    <t>INV-0192</t>
  </si>
  <si>
    <t>INV-0193</t>
  </si>
  <si>
    <t>INV-0194</t>
  </si>
  <si>
    <t>INV-0195</t>
  </si>
  <si>
    <t>INV-0196</t>
  </si>
  <si>
    <t>INV-0197</t>
  </si>
  <si>
    <t>INV-0198</t>
  </si>
  <si>
    <t>INV-0199</t>
  </si>
  <si>
    <t>INV-0200</t>
  </si>
  <si>
    <t>INV-0201</t>
  </si>
  <si>
    <t>INV-0202</t>
  </si>
  <si>
    <t>INV-0203</t>
  </si>
  <si>
    <t>INV-0204</t>
  </si>
  <si>
    <t>INV-0205</t>
  </si>
  <si>
    <t>INV-0206</t>
  </si>
  <si>
    <t>INV-0207</t>
  </si>
  <si>
    <t>INV-0208</t>
  </si>
  <si>
    <t>INV-0209</t>
  </si>
  <si>
    <t>INV-0210</t>
  </si>
  <si>
    <t>INV-0211</t>
  </si>
  <si>
    <t>INV-0212</t>
  </si>
  <si>
    <t>INV-0213</t>
  </si>
  <si>
    <t>INV-0214</t>
  </si>
  <si>
    <t>INV-0215</t>
  </si>
  <si>
    <t>INV-0216</t>
  </si>
  <si>
    <t>INV-0217</t>
  </si>
  <si>
    <t>INV-0218</t>
  </si>
  <si>
    <t>INV-0219</t>
  </si>
  <si>
    <t>INV-0220</t>
  </si>
  <si>
    <t>INV-0221</t>
  </si>
  <si>
    <t>INV-0222</t>
  </si>
  <si>
    <t>INV-0223</t>
  </si>
  <si>
    <t>INV-0224</t>
  </si>
  <si>
    <t>INV-0225</t>
  </si>
  <si>
    <t>INV-0226</t>
  </si>
  <si>
    <t>INV-0227</t>
  </si>
  <si>
    <t>INV-0228</t>
  </si>
  <si>
    <t>INV-0229</t>
  </si>
  <si>
    <t>INV-0230</t>
  </si>
  <si>
    <t>INV-0231</t>
  </si>
  <si>
    <t>INV-0232</t>
  </si>
  <si>
    <t>INV-0233</t>
  </si>
  <si>
    <t>INV-0234</t>
  </si>
  <si>
    <t>INV-0235</t>
  </si>
  <si>
    <t>INV-0236</t>
  </si>
  <si>
    <t>INV-0237</t>
  </si>
  <si>
    <t>INV-0238</t>
  </si>
  <si>
    <t>INV-0239</t>
  </si>
  <si>
    <t>INV-0240</t>
  </si>
  <si>
    <t>INV-0241</t>
  </si>
  <si>
    <t>INV-0242</t>
  </si>
  <si>
    <t>INV-0243</t>
  </si>
  <si>
    <t>INV-0244</t>
  </si>
  <si>
    <t>INV-0245</t>
  </si>
  <si>
    <t>INV-0246</t>
  </si>
  <si>
    <t>INV-0247</t>
  </si>
  <si>
    <t>INV-0248</t>
  </si>
  <si>
    <t>INV-0249</t>
  </si>
  <si>
    <t>INV-0250</t>
  </si>
  <si>
    <t>INV-0251</t>
  </si>
  <si>
    <t>INV-0252</t>
  </si>
  <si>
    <t>INV-0253</t>
  </si>
  <si>
    <t>INV-0254</t>
  </si>
  <si>
    <t>INV-0255</t>
  </si>
  <si>
    <t>INV-0256</t>
  </si>
  <si>
    <t>INV-0257</t>
  </si>
  <si>
    <t>INV-0258</t>
  </si>
  <si>
    <t>INV-0259</t>
  </si>
  <si>
    <t>INV-0260</t>
  </si>
  <si>
    <t>INV-0261</t>
  </si>
  <si>
    <t>INV-0262</t>
  </si>
  <si>
    <t>INV-0263</t>
  </si>
  <si>
    <t>INV-0264</t>
  </si>
  <si>
    <t>INV-0265</t>
  </si>
  <si>
    <t>INV-0266</t>
  </si>
  <si>
    <t>INV-0267</t>
  </si>
  <si>
    <t>INV-0268</t>
  </si>
  <si>
    <t>INV-0269</t>
  </si>
  <si>
    <t>INV-0270</t>
  </si>
  <si>
    <t>INV-0271</t>
  </si>
  <si>
    <t>INV-0272</t>
  </si>
  <si>
    <t>INV-0273</t>
  </si>
  <si>
    <t>INV-0274</t>
  </si>
  <si>
    <t>INV-0275</t>
  </si>
  <si>
    <t>INV-0276</t>
  </si>
  <si>
    <t>INV-0277</t>
  </si>
  <si>
    <t>INV-0278</t>
  </si>
  <si>
    <t>INV-0279</t>
  </si>
  <si>
    <t>INV-0280</t>
  </si>
  <si>
    <t>INV-0281</t>
  </si>
  <si>
    <t>INV-0282</t>
  </si>
  <si>
    <t>INV-0283</t>
  </si>
  <si>
    <t>INV-0284</t>
  </si>
  <si>
    <t>INV-0285</t>
  </si>
  <si>
    <t>INV-0286</t>
  </si>
  <si>
    <t>INV-0287</t>
  </si>
  <si>
    <t>INV-0288</t>
  </si>
  <si>
    <t>INV-0289</t>
  </si>
  <si>
    <t>INV-0290</t>
  </si>
  <si>
    <t>INV-0291</t>
  </si>
  <si>
    <t>INV-0292</t>
  </si>
  <si>
    <t>INV-0293</t>
  </si>
  <si>
    <t>INV-0294</t>
  </si>
  <si>
    <t>INV-0295</t>
  </si>
  <si>
    <t>INV-0296</t>
  </si>
  <si>
    <t>INV-0297</t>
  </si>
  <si>
    <t>INV-0298</t>
  </si>
  <si>
    <t>INV-0299</t>
  </si>
  <si>
    <t>INV-0300</t>
  </si>
  <si>
    <t>INV-0301</t>
  </si>
  <si>
    <t>INV-0302</t>
  </si>
  <si>
    <t>INV-0303</t>
  </si>
  <si>
    <t>INV-0304</t>
  </si>
  <si>
    <t>INV-0305</t>
  </si>
  <si>
    <t>INV-0306</t>
  </si>
  <si>
    <t>INV-0307</t>
  </si>
  <si>
    <t>INV-0308</t>
  </si>
  <si>
    <t>INV-0309</t>
  </si>
  <si>
    <t>INV-0310</t>
  </si>
  <si>
    <t>INV-0311</t>
  </si>
  <si>
    <t>INV-0312</t>
  </si>
  <si>
    <t>INV-0313</t>
  </si>
  <si>
    <t>INV-0314</t>
  </si>
  <si>
    <t>INV-0315</t>
  </si>
  <si>
    <t>INV-0316</t>
  </si>
  <si>
    <t>INV-0317</t>
  </si>
  <si>
    <t>INV-0318</t>
  </si>
  <si>
    <t>INV-0319</t>
  </si>
  <si>
    <t>INV-0320</t>
  </si>
  <si>
    <t>INV-0321</t>
  </si>
  <si>
    <t>INV-0322</t>
  </si>
  <si>
    <t>INV-0323</t>
  </si>
  <si>
    <t>INV-0324</t>
  </si>
  <si>
    <t>INV-0325</t>
  </si>
  <si>
    <t>INV-0326</t>
  </si>
  <si>
    <t>INV-0327</t>
  </si>
  <si>
    <t>INV-0328</t>
  </si>
  <si>
    <t>INV-0329</t>
  </si>
  <si>
    <t>INV-0330</t>
  </si>
  <si>
    <t>INV-0331</t>
  </si>
  <si>
    <t>INV-0332</t>
  </si>
  <si>
    <t>INV-0333</t>
  </si>
  <si>
    <t>INV-0334</t>
  </si>
  <si>
    <t>INV-0335</t>
  </si>
  <si>
    <t>INV-0336</t>
  </si>
  <si>
    <t>INV-0337</t>
  </si>
  <si>
    <t>INV-0338</t>
  </si>
  <si>
    <t>INV-0339</t>
  </si>
  <si>
    <t>INV-0340</t>
  </si>
  <si>
    <t>INV-0341</t>
  </si>
  <si>
    <t>INV-0342</t>
  </si>
  <si>
    <t>INV-0343</t>
  </si>
  <si>
    <t>INV-0344</t>
  </si>
  <si>
    <t>INV-0345</t>
  </si>
  <si>
    <t>INV-0346</t>
  </si>
  <si>
    <t>INV-0347</t>
  </si>
  <si>
    <t>INV-0348</t>
  </si>
  <si>
    <t>INV-0349</t>
  </si>
  <si>
    <t>INV-0350</t>
  </si>
  <si>
    <t>INV-0351</t>
  </si>
  <si>
    <t>INV-0352</t>
  </si>
  <si>
    <t>INV-0353</t>
  </si>
  <si>
    <t>INV-0354</t>
  </si>
  <si>
    <t>INV-0355</t>
  </si>
  <si>
    <t>INV-0356</t>
  </si>
  <si>
    <t>INV-0357</t>
  </si>
  <si>
    <t>INV-0358</t>
  </si>
  <si>
    <t>INV-0359</t>
  </si>
  <si>
    <t>INV-0360</t>
  </si>
  <si>
    <t>INV-0361</t>
  </si>
  <si>
    <t>INV-0362</t>
  </si>
  <si>
    <t>INV-0363</t>
  </si>
  <si>
    <t>INV-0364</t>
  </si>
  <si>
    <t>INV-0365</t>
  </si>
  <si>
    <t>INV-0366</t>
  </si>
  <si>
    <t>INV-0367</t>
  </si>
  <si>
    <t>INV-0368</t>
  </si>
  <si>
    <t>INV-0369</t>
  </si>
  <si>
    <t>INV-0370</t>
  </si>
  <si>
    <t>INV-0371</t>
  </si>
  <si>
    <t>INV-0372</t>
  </si>
  <si>
    <t>INV-0373</t>
  </si>
  <si>
    <t>INV-0374</t>
  </si>
  <si>
    <t>INV-0375</t>
  </si>
  <si>
    <t>INV-0376</t>
  </si>
  <si>
    <t>INV-0377</t>
  </si>
  <si>
    <t>INV-0378</t>
  </si>
  <si>
    <t>INV-0379</t>
  </si>
  <si>
    <t>INV-0380</t>
  </si>
  <si>
    <t>INV-0381</t>
  </si>
  <si>
    <t>INV-0382</t>
  </si>
  <si>
    <t>INV-0383</t>
  </si>
  <si>
    <t>INV-0384</t>
  </si>
  <si>
    <t>INV-0385</t>
  </si>
  <si>
    <t>INV-0386</t>
  </si>
  <si>
    <t>INV-0387</t>
  </si>
  <si>
    <t>INV-0388</t>
  </si>
  <si>
    <t>INV-0389</t>
  </si>
  <si>
    <t>INV-0390</t>
  </si>
  <si>
    <t>INV-0391</t>
  </si>
  <si>
    <t>INV-0392</t>
  </si>
  <si>
    <t>INV-0393</t>
  </si>
  <si>
    <t>INV-0394</t>
  </si>
  <si>
    <t>INV-0395</t>
  </si>
  <si>
    <t>INV-0396</t>
  </si>
  <si>
    <t>INV-0397</t>
  </si>
  <si>
    <t>INV-0398</t>
  </si>
  <si>
    <t>INV-0399</t>
  </si>
  <si>
    <t>INV-0400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</si>
</sst>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\$#,##0.00"/>
  </numFmts>
  <fonts count="2">
    <font>
      <sz val="11"/>
      <name val="Carlito"/>
    </font>
    <font>
      <b/>
      <sz val="11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/>
    </xf>
    <xf numFmtId="164" fontId="0" fillId="0" borderId="0" xfId="0" applyNumberFormat="1"/>
    <xf numFmtId="165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microsoft.com/office/2017/06/relationships/rdRichValueTypes" Target="richData/rdRichValueTypes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microsoft.com/office/2017/06/relationships/rdSupportingPropertyBag" Target="richData/rdsupporting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06/relationships/rdSupportingPropertyBagStructure" Target="richData/rdsupportingpropertybagstructure.xml"/><Relationship Id="rId5" Type="http://schemas.openxmlformats.org/officeDocument/2006/relationships/sharedStrings" Target="sharedStrings.xml"/><Relationship Id="rId15" Type="http://schemas.microsoft.com/office/2023/09/relationships/Python" Target="python.xml"/><Relationship Id="rId10" Type="http://schemas.microsoft.com/office/2017/06/relationships/richStyles" Target="richData/richStyl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21</xdr:row>
      <xdr:rowOff>0</xdr:rowOff>
    </xdr:from>
    <xdr:to>
      <xdr:col>5</xdr:col>
      <xdr:colOff>295274</xdr:colOff>
      <xdr:row>42</xdr:row>
      <xdr:rowOff>52311</xdr:rowOff>
    </xdr:to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C21B1317-27E5-87C0-8892-49225B0C2EF8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'Survival Analysis'!B22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3600450"/>
          <a:ext cx="4571999" cy="3652761"/>
        </a:xfrm>
        <a:prstGeom prst="rect">
          <a:avLst/>
        </a:prstGeom>
      </xdr:spPr>
    </xdr:pic>
    <xdr:clientData/>
  </xdr:twoCellAnchor>
  <xdr:twoCellAnchor editAs="oneCell">
    <xdr:from>
      <xdr:col>2</xdr:col>
      <xdr:colOff>57150</xdr:colOff>
      <xdr:row>8</xdr:row>
      <xdr:rowOff>161925</xdr:rowOff>
    </xdr:from>
    <xdr:to>
      <xdr:col>2</xdr:col>
      <xdr:colOff>57150</xdr:colOff>
      <xdr:row>8</xdr:row>
      <xdr:rowOff>161925</xdr:rowOff>
    </xdr:to>
    <xdr:pic>
      <xdr:nvPicPr>
        <xdr:cNvPr id="3" name="Picture 2" descr="Image generated by Python">
          <a:extLst>
            <a:ext uri="{FF2B5EF4-FFF2-40B4-BE49-F238E27FC236}">
              <a16:creationId xmlns:a16="http://schemas.microsoft.com/office/drawing/2014/main" id="{1EC084C8-FB6A-3DA8-89C8-69BFF7670924}"/>
            </a:ext>
            <a:ext uri="{147F2762-F138-4A5C-976F-8EAC2B608ADB}">
              <a16:predDERef xmlns:a16="http://schemas.microsoft.com/office/drawing/2014/main" pred="{C21B1317-27E5-87C0-8892-49225B0C2EF8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'Survival Analysis'!B53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81200" y="1533525"/>
          <a:ext cx="0" cy="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52</xdr:row>
      <xdr:rowOff>0</xdr:rowOff>
    </xdr:from>
    <xdr:to>
      <xdr:col>4</xdr:col>
      <xdr:colOff>800099</xdr:colOff>
      <xdr:row>73</xdr:row>
      <xdr:rowOff>52311</xdr:rowOff>
    </xdr:to>
    <xdr:pic>
      <xdr:nvPicPr>
        <xdr:cNvPr id="4" name="Picture 3" descr="Image generated by Python">
          <a:extLst>
            <a:ext uri="{FF2B5EF4-FFF2-40B4-BE49-F238E27FC236}">
              <a16:creationId xmlns:a16="http://schemas.microsoft.com/office/drawing/2014/main" id="{F36C392F-1F88-7853-92E1-9CFB758D7C81}"/>
            </a:ext>
            <a:ext uri="{147F2762-F138-4A5C-976F-8EAC2B608ADB}">
              <a16:predDERef xmlns:a16="http://schemas.microsoft.com/office/drawing/2014/main" pred="{1EC084C8-FB6A-3DA8-89C8-69BFF7670924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'Survival Analysis'!B53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5800" y="8915400"/>
          <a:ext cx="4571999" cy="3652761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1">
  <rv s="0">
    <fb>46151</fb>
    <v>0</v>
  </rv>
  <rv s="0">
    <fb>46189</fb>
    <v>0</v>
  </rv>
  <rv s="0">
    <fb>46089</fb>
    <v>0</v>
  </rv>
  <rv s="0">
    <fb>46140</fb>
    <v>0</v>
  </rv>
  <rv s="0">
    <fb>46162</fb>
    <v>0</v>
  </rv>
  <rv s="0">
    <fb>46201</fb>
    <v>0</v>
  </rv>
  <rv s="0">
    <fb>46139</fb>
    <v>0</v>
  </rv>
  <rv s="0">
    <fb>46202</fb>
    <v>0</v>
  </rv>
  <rv s="1">
    <v>0</v>
    <v>9</v>
    <v>Image generated by Python</v>
  </rv>
  <rv s="2">
    <fb>49</fb>
    <v>&lt;class 'numpy.int64'&gt;</v>
    <v>int64</v>
    <v>49</v>
    <v>49</v>
    <v>1</v>
  </rv>
  <rv s="1">
    <v>1</v>
    <v>9</v>
    <v>Image generated by Python</v>
  </rv>
</rvData>
</file>

<file path=xl/richData/rdrichvaluestructure.xml><?xml version="1.0" encoding="utf-8"?>
<rvStructures xmlns="http://schemas.microsoft.com/office/spreadsheetml/2017/richdata" count="3">
  <s t="_formattednumber">
    <k n="_Format" t="spb"/>
  </s>
  <s t="_localImage">
    <k n="_rvRel:LocalImageIdentifier" t="i"/>
    <k n="CalcOrigin" t="i"/>
    <k n="Text" t="s"/>
  </s>
  <s t="_python">
    <k n="Python_type" t="s"/>
    <k n="Python_typeName" t="s"/>
    <k n="Python_str" t="s"/>
    <k n="basicValue" t="i"/>
    <k n="_Provider" t="spb"/>
  </s>
</rvStructures>
</file>

<file path=xl/richData/rdsupportingpropertybag.xml><?xml version="1.0" encoding="utf-8"?>
<supportingPropertyBags xmlns="http://schemas.microsoft.com/office/spreadsheetml/2017/richdata2">
  <spbData count="2">
    <spb s="0">
      <v>1</v>
    </spb>
    <spb s="1">
      <v>https://www.anaconda.com/excel</v>
      <v>https://res.cdn.office.net/officepysvc/prod-service/anacondalogo.png</v>
      <v>Python provided by Anaconda</v>
    </spb>
  </spbData>
</supportingPropertyBags>
</file>

<file path=xl/richData/rdsupportingpropertybagstructure.xml><?xml version="1.0" encoding="utf-8"?>
<spbStructures xmlns="http://schemas.microsoft.com/office/spreadsheetml/2017/richdata2" count="2">
  <s>
    <k n="_Self" t="i"/>
  </s>
  <s>
    <k n="link" t="s"/>
    <k n="logo" t="s"/>
    <k n="na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1">
    <x:dxf>
      <x:numFmt numFmtId="19" formatCode="m/d/yyyy"/>
    </x:dxf>
  </dxfs>
  <richStyles>
    <rSty dxfid="0"/>
  </richStyles>
</richStyleSheet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voices" displayName="Invoices" ref="A1:H401" totalsRowShown="0">
  <tableColumns count="8">
    <tableColumn id="1" xr3:uid="{00000000-0010-0000-0000-000001000000}" name="invoice_id"/>
    <tableColumn id="2" xr3:uid="{00000000-0010-0000-0000-000002000000}" name="issue_date"/>
    <tableColumn id="3" xr3:uid="{00000000-0010-0000-0000-000003000000}" name="customer_segment"/>
    <tableColumn id="4" xr3:uid="{00000000-0010-0000-0000-000004000000}" name="invoice_amount"/>
    <tableColumn id="5" xr3:uid="{00000000-0010-0000-0000-000005000000}" name="payment_terms_days"/>
    <tableColumn id="6" xr3:uid="{00000000-0010-0000-0000-000006000000}" name="payment_date"/>
    <tableColumn id="7" xr3:uid="{00000000-0010-0000-0000-000007000000}" name="days_observed"/>
    <tableColumn id="8" xr3:uid="{00000000-0010-0000-0000-000008000000}" name="pai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01"/>
  <sheetViews>
    <sheetView topLeftCell="B1" workbookViewId="0">
      <selection activeCell="D10" sqref="D10"/>
    </sheetView>
  </sheetViews>
  <sheetFormatPr defaultRowHeight="13.5"/>
  <cols>
    <col min="1" max="1" width="14" customWidth="1"/>
    <col min="2" max="2" width="13" customWidth="1"/>
    <col min="3" max="3" width="18" customWidth="1"/>
    <col min="4" max="4" width="16" customWidth="1"/>
    <col min="5" max="5" width="20" customWidth="1"/>
    <col min="6" max="6" width="13" customWidth="1"/>
    <col min="7" max="7" width="16" customWidth="1"/>
    <col min="8" max="8" width="9" customWidth="1"/>
  </cols>
  <sheetData>
    <row r="1" spans="1:8" ht="13.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8</v>
      </c>
      <c r="B2" s="2">
        <v>46151</v>
      </c>
      <c r="C2" t="s">
        <v>9</v>
      </c>
      <c r="D2" s="3">
        <v>47897.41</v>
      </c>
      <c r="E2">
        <v>30</v>
      </c>
      <c r="F2" s="2">
        <v>46189</v>
      </c>
      <c r="G2">
        <v>38</v>
      </c>
      <c r="H2">
        <v>1</v>
      </c>
    </row>
    <row r="3" spans="1:8">
      <c r="A3" t="s">
        <v>10</v>
      </c>
      <c r="B3" s="2">
        <v>46089</v>
      </c>
      <c r="C3" t="s">
        <v>11</v>
      </c>
      <c r="D3" s="3">
        <v>33091.839999999997</v>
      </c>
      <c r="E3">
        <v>60</v>
      </c>
      <c r="F3" s="2">
        <v>46140</v>
      </c>
      <c r="G3">
        <v>51</v>
      </c>
      <c r="H3">
        <v>1</v>
      </c>
    </row>
    <row r="4" spans="1:8">
      <c r="A4" t="s">
        <v>12</v>
      </c>
      <c r="B4" s="2">
        <v>46162</v>
      </c>
      <c r="C4" t="s">
        <v>9</v>
      </c>
      <c r="D4" s="3">
        <v>10971.26</v>
      </c>
      <c r="E4">
        <v>45</v>
      </c>
      <c r="F4" s="2"/>
      <c r="G4">
        <v>41</v>
      </c>
      <c r="H4">
        <v>0</v>
      </c>
    </row>
    <row r="5" spans="1:8">
      <c r="A5" t="s">
        <v>13</v>
      </c>
      <c r="B5" s="2">
        <v>46162</v>
      </c>
      <c r="C5" t="s">
        <v>9</v>
      </c>
      <c r="D5" s="3">
        <v>32808.620000000003</v>
      </c>
      <c r="E5">
        <v>30</v>
      </c>
      <c r="F5" s="2">
        <v>46201</v>
      </c>
      <c r="G5">
        <v>39</v>
      </c>
      <c r="H5">
        <v>1</v>
      </c>
    </row>
    <row r="6" spans="1:8">
      <c r="A6" t="s">
        <v>14</v>
      </c>
      <c r="B6" s="2">
        <v>46139</v>
      </c>
      <c r="C6" t="s">
        <v>15</v>
      </c>
      <c r="D6" s="3">
        <v>8603.07</v>
      </c>
      <c r="E6">
        <v>60</v>
      </c>
      <c r="F6" s="2">
        <v>46202</v>
      </c>
      <c r="G6">
        <v>63</v>
      </c>
      <c r="H6">
        <v>1</v>
      </c>
    </row>
    <row r="7" spans="1:8">
      <c r="A7" t="s">
        <v>16</v>
      </c>
      <c r="B7" s="2">
        <v>46162</v>
      </c>
      <c r="C7" t="s">
        <v>9</v>
      </c>
      <c r="D7" s="3">
        <v>10411.01</v>
      </c>
      <c r="E7">
        <v>60</v>
      </c>
      <c r="F7" s="2"/>
      <c r="G7">
        <v>41</v>
      </c>
      <c r="H7">
        <v>0</v>
      </c>
    </row>
    <row r="8" spans="1:8">
      <c r="A8" t="s">
        <v>17</v>
      </c>
      <c r="B8" s="2">
        <v>46135</v>
      </c>
      <c r="C8" t="s">
        <v>9</v>
      </c>
      <c r="D8" s="3">
        <v>2847.94</v>
      </c>
      <c r="E8">
        <v>30</v>
      </c>
      <c r="F8" s="2">
        <v>46172</v>
      </c>
      <c r="G8">
        <v>37</v>
      </c>
      <c r="H8">
        <v>1</v>
      </c>
    </row>
    <row r="9" spans="1:8">
      <c r="A9" t="s">
        <v>18</v>
      </c>
      <c r="B9" s="2">
        <v>46106</v>
      </c>
      <c r="C9" t="s">
        <v>9</v>
      </c>
      <c r="D9" s="3">
        <v>12642.42</v>
      </c>
      <c r="E9">
        <v>45</v>
      </c>
      <c r="F9" s="2">
        <v>46171</v>
      </c>
      <c r="G9">
        <v>65</v>
      </c>
      <c r="H9">
        <v>1</v>
      </c>
    </row>
    <row r="10" spans="1:8">
      <c r="A10" t="s">
        <v>19</v>
      </c>
      <c r="B10" s="2">
        <v>46157</v>
      </c>
      <c r="C10" t="s">
        <v>15</v>
      </c>
      <c r="D10" s="3">
        <v>9029.09</v>
      </c>
      <c r="E10">
        <v>30</v>
      </c>
      <c r="F10" s="2">
        <v>46196</v>
      </c>
      <c r="G10">
        <v>39</v>
      </c>
      <c r="H10">
        <v>1</v>
      </c>
    </row>
    <row r="11" spans="1:8">
      <c r="A11" t="s">
        <v>20</v>
      </c>
      <c r="B11" s="2">
        <v>46170</v>
      </c>
      <c r="C11" t="s">
        <v>11</v>
      </c>
      <c r="D11" s="3">
        <v>2310.38</v>
      </c>
      <c r="E11">
        <v>60</v>
      </c>
      <c r="F11" s="2"/>
      <c r="G11">
        <v>33</v>
      </c>
      <c r="H11">
        <v>0</v>
      </c>
    </row>
    <row r="12" spans="1:8">
      <c r="A12" t="s">
        <v>21</v>
      </c>
      <c r="B12" s="2">
        <v>46171</v>
      </c>
      <c r="C12" t="s">
        <v>11</v>
      </c>
      <c r="D12" s="3">
        <v>8075.78</v>
      </c>
      <c r="E12">
        <v>45</v>
      </c>
      <c r="F12" s="2"/>
      <c r="G12">
        <v>32</v>
      </c>
      <c r="H12">
        <v>0</v>
      </c>
    </row>
    <row r="13" spans="1:8">
      <c r="A13" t="s">
        <v>22</v>
      </c>
      <c r="B13" s="2">
        <v>46083</v>
      </c>
      <c r="C13" t="s">
        <v>9</v>
      </c>
      <c r="D13" s="3">
        <v>7848.61</v>
      </c>
      <c r="E13">
        <v>45</v>
      </c>
      <c r="F13" s="2">
        <v>46156</v>
      </c>
      <c r="G13">
        <v>73</v>
      </c>
      <c r="H13">
        <v>1</v>
      </c>
    </row>
    <row r="14" spans="1:8">
      <c r="A14" t="s">
        <v>23</v>
      </c>
      <c r="B14" s="2">
        <v>46148</v>
      </c>
      <c r="C14" t="s">
        <v>11</v>
      </c>
      <c r="D14" s="3">
        <v>51296.75</v>
      </c>
      <c r="E14">
        <v>30</v>
      </c>
      <c r="F14" s="2">
        <v>46184</v>
      </c>
      <c r="G14">
        <v>36</v>
      </c>
      <c r="H14">
        <v>1</v>
      </c>
    </row>
    <row r="15" spans="1:8">
      <c r="A15" t="s">
        <v>24</v>
      </c>
      <c r="B15" s="2">
        <v>46054</v>
      </c>
      <c r="C15" t="s">
        <v>9</v>
      </c>
      <c r="D15" s="3">
        <v>20786</v>
      </c>
      <c r="E15">
        <v>60</v>
      </c>
      <c r="F15" s="2">
        <v>46141</v>
      </c>
      <c r="G15">
        <v>87</v>
      </c>
      <c r="H15">
        <v>1</v>
      </c>
    </row>
    <row r="16" spans="1:8">
      <c r="A16" t="s">
        <v>25</v>
      </c>
      <c r="B16" s="2">
        <v>46134</v>
      </c>
      <c r="C16" t="s">
        <v>11</v>
      </c>
      <c r="D16" s="3">
        <v>8597.85</v>
      </c>
      <c r="E16">
        <v>30</v>
      </c>
      <c r="F16" s="2">
        <v>46174</v>
      </c>
      <c r="G16">
        <v>40</v>
      </c>
      <c r="H16">
        <v>1</v>
      </c>
    </row>
    <row r="17" spans="1:8">
      <c r="A17" t="s">
        <v>26</v>
      </c>
      <c r="B17" s="2">
        <v>46133</v>
      </c>
      <c r="C17" t="s">
        <v>15</v>
      </c>
      <c r="D17" s="3">
        <v>10900.99</v>
      </c>
      <c r="E17">
        <v>30</v>
      </c>
      <c r="F17" s="2">
        <v>46151</v>
      </c>
      <c r="G17">
        <v>18</v>
      </c>
      <c r="H17">
        <v>1</v>
      </c>
    </row>
    <row r="18" spans="1:8">
      <c r="A18" t="s">
        <v>27</v>
      </c>
      <c r="B18" s="2">
        <v>46104</v>
      </c>
      <c r="C18" t="s">
        <v>11</v>
      </c>
      <c r="D18" s="3">
        <v>8884.24</v>
      </c>
      <c r="E18">
        <v>30</v>
      </c>
      <c r="F18" s="2">
        <v>46141</v>
      </c>
      <c r="G18">
        <v>37</v>
      </c>
      <c r="H18">
        <v>1</v>
      </c>
    </row>
    <row r="19" spans="1:8">
      <c r="A19" t="s">
        <v>28</v>
      </c>
      <c r="B19" s="2">
        <v>46193</v>
      </c>
      <c r="C19" t="s">
        <v>15</v>
      </c>
      <c r="D19" s="3">
        <v>6938.96</v>
      </c>
      <c r="E19">
        <v>45</v>
      </c>
      <c r="F19" s="2"/>
      <c r="G19">
        <v>10</v>
      </c>
      <c r="H19">
        <v>0</v>
      </c>
    </row>
    <row r="20" spans="1:8">
      <c r="A20" t="s">
        <v>29</v>
      </c>
      <c r="B20" s="2">
        <v>46177</v>
      </c>
      <c r="C20" t="s">
        <v>9</v>
      </c>
      <c r="D20" s="3">
        <v>2879.56</v>
      </c>
      <c r="E20">
        <v>30</v>
      </c>
      <c r="F20" s="2"/>
      <c r="G20">
        <v>26</v>
      </c>
      <c r="H20">
        <v>0</v>
      </c>
    </row>
    <row r="21" spans="1:8">
      <c r="A21" t="s">
        <v>30</v>
      </c>
      <c r="B21" s="2">
        <v>46059</v>
      </c>
      <c r="C21" t="s">
        <v>11</v>
      </c>
      <c r="D21" s="3">
        <v>7308.33</v>
      </c>
      <c r="E21">
        <v>60</v>
      </c>
      <c r="F21" s="2">
        <v>46128</v>
      </c>
      <c r="G21">
        <v>69</v>
      </c>
      <c r="H21">
        <v>1</v>
      </c>
    </row>
    <row r="22" spans="1:8">
      <c r="A22" t="s">
        <v>31</v>
      </c>
      <c r="B22" s="2">
        <v>46083</v>
      </c>
      <c r="C22" t="s">
        <v>9</v>
      </c>
      <c r="D22" s="3">
        <v>4030.81</v>
      </c>
      <c r="E22">
        <v>45</v>
      </c>
      <c r="F22" s="2">
        <v>46163</v>
      </c>
      <c r="G22">
        <v>80</v>
      </c>
      <c r="H22">
        <v>1</v>
      </c>
    </row>
    <row r="23" spans="1:8">
      <c r="A23" t="s">
        <v>32</v>
      </c>
      <c r="B23" s="2">
        <v>46083</v>
      </c>
      <c r="C23" t="s">
        <v>11</v>
      </c>
      <c r="D23" s="3">
        <v>2434.52</v>
      </c>
      <c r="E23">
        <v>30</v>
      </c>
      <c r="F23" s="2">
        <v>46134</v>
      </c>
      <c r="G23">
        <v>51</v>
      </c>
      <c r="H23">
        <v>1</v>
      </c>
    </row>
    <row r="24" spans="1:8">
      <c r="A24" t="s">
        <v>33</v>
      </c>
      <c r="B24" s="2">
        <v>46179</v>
      </c>
      <c r="C24" t="s">
        <v>9</v>
      </c>
      <c r="D24" s="3">
        <v>14172.28</v>
      </c>
      <c r="E24">
        <v>30</v>
      </c>
      <c r="F24" s="2"/>
      <c r="G24">
        <v>24</v>
      </c>
      <c r="H24">
        <v>0</v>
      </c>
    </row>
    <row r="25" spans="1:8">
      <c r="A25" t="s">
        <v>34</v>
      </c>
      <c r="B25" s="2">
        <v>46126</v>
      </c>
      <c r="C25" t="s">
        <v>9</v>
      </c>
      <c r="D25" s="3">
        <v>12570.22</v>
      </c>
      <c r="E25">
        <v>30</v>
      </c>
      <c r="F25" s="2">
        <v>46183</v>
      </c>
      <c r="G25">
        <v>57</v>
      </c>
      <c r="H25">
        <v>1</v>
      </c>
    </row>
    <row r="26" spans="1:8">
      <c r="A26" t="s">
        <v>35</v>
      </c>
      <c r="B26" s="2">
        <v>46156</v>
      </c>
      <c r="C26" t="s">
        <v>9</v>
      </c>
      <c r="D26" s="3">
        <v>1423.84</v>
      </c>
      <c r="E26">
        <v>45</v>
      </c>
      <c r="F26" s="2"/>
      <c r="G26">
        <v>47</v>
      </c>
      <c r="H26">
        <v>0</v>
      </c>
    </row>
    <row r="27" spans="1:8">
      <c r="A27" t="s">
        <v>36</v>
      </c>
      <c r="B27" s="2">
        <v>46167</v>
      </c>
      <c r="C27" t="s">
        <v>15</v>
      </c>
      <c r="D27" s="3">
        <v>7518.61</v>
      </c>
      <c r="E27">
        <v>45</v>
      </c>
      <c r="F27" s="2"/>
      <c r="G27">
        <v>36</v>
      </c>
      <c r="H27">
        <v>0</v>
      </c>
    </row>
    <row r="28" spans="1:8">
      <c r="A28" t="s">
        <v>37</v>
      </c>
      <c r="B28" s="2">
        <v>46161</v>
      </c>
      <c r="C28" t="s">
        <v>11</v>
      </c>
      <c r="D28" s="3">
        <v>23006.29</v>
      </c>
      <c r="E28">
        <v>30</v>
      </c>
      <c r="F28" s="2">
        <v>46189</v>
      </c>
      <c r="G28">
        <v>28</v>
      </c>
      <c r="H28">
        <v>1</v>
      </c>
    </row>
    <row r="29" spans="1:8">
      <c r="A29" t="s">
        <v>38</v>
      </c>
      <c r="B29" s="2">
        <v>46066</v>
      </c>
      <c r="C29" t="s">
        <v>15</v>
      </c>
      <c r="D29" s="3">
        <v>24515.119999999999</v>
      </c>
      <c r="E29">
        <v>45</v>
      </c>
      <c r="F29" s="2">
        <v>46107</v>
      </c>
      <c r="G29">
        <v>41</v>
      </c>
      <c r="H29">
        <v>1</v>
      </c>
    </row>
    <row r="30" spans="1:8">
      <c r="A30" t="s">
        <v>39</v>
      </c>
      <c r="B30" s="2">
        <v>46073</v>
      </c>
      <c r="C30" t="s">
        <v>15</v>
      </c>
      <c r="D30" s="3">
        <v>23710.14</v>
      </c>
      <c r="E30">
        <v>30</v>
      </c>
      <c r="F30" s="2">
        <v>46128</v>
      </c>
      <c r="G30">
        <v>55</v>
      </c>
      <c r="H30">
        <v>1</v>
      </c>
    </row>
    <row r="31" spans="1:8">
      <c r="A31" t="s">
        <v>40</v>
      </c>
      <c r="B31" s="2">
        <v>46109</v>
      </c>
      <c r="C31" t="s">
        <v>9</v>
      </c>
      <c r="D31" s="3">
        <v>8837.2800000000007</v>
      </c>
      <c r="E31">
        <v>45</v>
      </c>
      <c r="F31" s="2">
        <v>46159</v>
      </c>
      <c r="G31">
        <v>50</v>
      </c>
      <c r="H31">
        <v>1</v>
      </c>
    </row>
    <row r="32" spans="1:8">
      <c r="A32" t="s">
        <v>41</v>
      </c>
      <c r="B32" s="2">
        <v>46101</v>
      </c>
      <c r="C32" t="s">
        <v>9</v>
      </c>
      <c r="D32" s="3">
        <v>3651.07</v>
      </c>
      <c r="E32">
        <v>60</v>
      </c>
      <c r="F32" s="2">
        <v>46161</v>
      </c>
      <c r="G32">
        <v>60</v>
      </c>
      <c r="H32">
        <v>1</v>
      </c>
    </row>
    <row r="33" spans="1:8">
      <c r="A33" t="s">
        <v>42</v>
      </c>
      <c r="B33" s="2">
        <v>46158</v>
      </c>
      <c r="C33" t="s">
        <v>9</v>
      </c>
      <c r="D33" s="3">
        <v>2875.9</v>
      </c>
      <c r="E33">
        <v>45</v>
      </c>
      <c r="F33" s="2"/>
      <c r="G33">
        <v>45</v>
      </c>
      <c r="H33">
        <v>0</v>
      </c>
    </row>
    <row r="34" spans="1:8">
      <c r="A34" t="s">
        <v>43</v>
      </c>
      <c r="B34" s="2">
        <v>46075</v>
      </c>
      <c r="C34" t="s">
        <v>11</v>
      </c>
      <c r="D34" s="3">
        <v>11997.17</v>
      </c>
      <c r="E34">
        <v>45</v>
      </c>
      <c r="F34" s="2">
        <v>46136</v>
      </c>
      <c r="G34">
        <v>61</v>
      </c>
      <c r="H34">
        <v>1</v>
      </c>
    </row>
    <row r="35" spans="1:8">
      <c r="A35" t="s">
        <v>44</v>
      </c>
      <c r="B35" s="2">
        <v>46106</v>
      </c>
      <c r="C35" t="s">
        <v>11</v>
      </c>
      <c r="D35" s="3">
        <v>12420.47</v>
      </c>
      <c r="E35">
        <v>45</v>
      </c>
      <c r="F35" s="2">
        <v>46161</v>
      </c>
      <c r="G35">
        <v>55</v>
      </c>
      <c r="H35">
        <v>1</v>
      </c>
    </row>
    <row r="36" spans="1:8">
      <c r="A36" t="s">
        <v>45</v>
      </c>
      <c r="B36" s="2">
        <v>46087</v>
      </c>
      <c r="C36" t="s">
        <v>11</v>
      </c>
      <c r="D36" s="3">
        <v>30796.38</v>
      </c>
      <c r="E36">
        <v>30</v>
      </c>
      <c r="F36" s="2">
        <v>46123</v>
      </c>
      <c r="G36">
        <v>36</v>
      </c>
      <c r="H36">
        <v>1</v>
      </c>
    </row>
    <row r="37" spans="1:8">
      <c r="A37" t="s">
        <v>46</v>
      </c>
      <c r="B37" s="2">
        <v>46080</v>
      </c>
      <c r="C37" t="s">
        <v>15</v>
      </c>
      <c r="D37" s="3">
        <v>25534.89</v>
      </c>
      <c r="E37">
        <v>30</v>
      </c>
      <c r="F37" s="2">
        <v>46109</v>
      </c>
      <c r="G37">
        <v>29</v>
      </c>
      <c r="H37">
        <v>1</v>
      </c>
    </row>
    <row r="38" spans="1:8">
      <c r="A38" t="s">
        <v>47</v>
      </c>
      <c r="B38" s="2">
        <v>46078</v>
      </c>
      <c r="C38" t="s">
        <v>15</v>
      </c>
      <c r="D38" s="3">
        <v>7447.2</v>
      </c>
      <c r="E38">
        <v>30</v>
      </c>
      <c r="F38" s="2">
        <v>46104</v>
      </c>
      <c r="G38">
        <v>26</v>
      </c>
      <c r="H38">
        <v>1</v>
      </c>
    </row>
    <row r="39" spans="1:8">
      <c r="A39" t="s">
        <v>48</v>
      </c>
      <c r="B39" s="2">
        <v>46081</v>
      </c>
      <c r="C39" t="s">
        <v>11</v>
      </c>
      <c r="D39" s="3">
        <v>2449.44</v>
      </c>
      <c r="E39">
        <v>30</v>
      </c>
      <c r="F39" s="2">
        <v>46109</v>
      </c>
      <c r="G39">
        <v>28</v>
      </c>
      <c r="H39">
        <v>1</v>
      </c>
    </row>
    <row r="40" spans="1:8">
      <c r="A40" t="s">
        <v>49</v>
      </c>
      <c r="B40" s="2">
        <v>46133</v>
      </c>
      <c r="C40" t="s">
        <v>15</v>
      </c>
      <c r="D40" s="3">
        <v>6177.78</v>
      </c>
      <c r="E40">
        <v>45</v>
      </c>
      <c r="F40" s="2"/>
      <c r="G40">
        <v>70</v>
      </c>
      <c r="H40">
        <v>0</v>
      </c>
    </row>
    <row r="41" spans="1:8">
      <c r="A41" t="s">
        <v>50</v>
      </c>
      <c r="B41" s="2">
        <v>46111</v>
      </c>
      <c r="C41" t="s">
        <v>9</v>
      </c>
      <c r="D41" s="3">
        <v>10562.37</v>
      </c>
      <c r="E41">
        <v>45</v>
      </c>
      <c r="F41" s="2">
        <v>46177</v>
      </c>
      <c r="G41">
        <v>66</v>
      </c>
      <c r="H41">
        <v>1</v>
      </c>
    </row>
    <row r="42" spans="1:8">
      <c r="A42" t="s">
        <v>51</v>
      </c>
      <c r="B42" s="2">
        <v>46114</v>
      </c>
      <c r="C42" t="s">
        <v>11</v>
      </c>
      <c r="D42" s="3">
        <v>6944.73</v>
      </c>
      <c r="E42">
        <v>60</v>
      </c>
      <c r="F42" s="2">
        <v>46195</v>
      </c>
      <c r="G42">
        <v>81</v>
      </c>
      <c r="H42">
        <v>1</v>
      </c>
    </row>
    <row r="43" spans="1:8">
      <c r="A43" t="s">
        <v>52</v>
      </c>
      <c r="B43" s="2">
        <v>46121</v>
      </c>
      <c r="C43" t="s">
        <v>9</v>
      </c>
      <c r="D43" s="3">
        <v>4769.17</v>
      </c>
      <c r="E43">
        <v>30</v>
      </c>
      <c r="F43" s="2">
        <v>46162</v>
      </c>
      <c r="G43">
        <v>41</v>
      </c>
      <c r="H43">
        <v>1</v>
      </c>
    </row>
    <row r="44" spans="1:8">
      <c r="A44" t="s">
        <v>53</v>
      </c>
      <c r="B44" s="2">
        <v>46157</v>
      </c>
      <c r="C44" t="s">
        <v>9</v>
      </c>
      <c r="D44" s="3">
        <v>10945.75</v>
      </c>
      <c r="E44">
        <v>45</v>
      </c>
      <c r="F44" s="2"/>
      <c r="G44">
        <v>46</v>
      </c>
      <c r="H44">
        <v>0</v>
      </c>
    </row>
    <row r="45" spans="1:8">
      <c r="A45" t="s">
        <v>54</v>
      </c>
      <c r="B45" s="2">
        <v>46174</v>
      </c>
      <c r="C45" t="s">
        <v>11</v>
      </c>
      <c r="D45" s="3">
        <v>5135.1499999999996</v>
      </c>
      <c r="E45">
        <v>30</v>
      </c>
      <c r="F45" s="2"/>
      <c r="G45">
        <v>29</v>
      </c>
      <c r="H45">
        <v>0</v>
      </c>
    </row>
    <row r="46" spans="1:8">
      <c r="A46" t="s">
        <v>55</v>
      </c>
      <c r="B46" s="2">
        <v>46127</v>
      </c>
      <c r="C46" t="s">
        <v>9</v>
      </c>
      <c r="D46" s="3">
        <v>4535.79</v>
      </c>
      <c r="E46">
        <v>30</v>
      </c>
      <c r="F46" s="2">
        <v>46142</v>
      </c>
      <c r="G46">
        <v>15</v>
      </c>
      <c r="H46">
        <v>1</v>
      </c>
    </row>
    <row r="47" spans="1:8">
      <c r="A47" t="s">
        <v>56</v>
      </c>
      <c r="B47" s="2">
        <v>46143</v>
      </c>
      <c r="C47" t="s">
        <v>9</v>
      </c>
      <c r="D47" s="3">
        <v>11605.96</v>
      </c>
      <c r="E47">
        <v>45</v>
      </c>
      <c r="F47" s="2">
        <v>46190</v>
      </c>
      <c r="G47">
        <v>47</v>
      </c>
      <c r="H47">
        <v>1</v>
      </c>
    </row>
    <row r="48" spans="1:8">
      <c r="A48" t="s">
        <v>57</v>
      </c>
      <c r="B48" s="2">
        <v>46157</v>
      </c>
      <c r="C48" t="s">
        <v>11</v>
      </c>
      <c r="D48" s="3">
        <v>5686.38</v>
      </c>
      <c r="E48">
        <v>60</v>
      </c>
      <c r="F48" s="2"/>
      <c r="G48">
        <v>46</v>
      </c>
      <c r="H48">
        <v>0</v>
      </c>
    </row>
    <row r="49" spans="1:8">
      <c r="A49" t="s">
        <v>58</v>
      </c>
      <c r="B49" s="2">
        <v>46150</v>
      </c>
      <c r="C49" t="s">
        <v>15</v>
      </c>
      <c r="D49" s="3">
        <v>10850.06</v>
      </c>
      <c r="E49">
        <v>45</v>
      </c>
      <c r="F49" s="2">
        <v>46173</v>
      </c>
      <c r="G49">
        <v>23</v>
      </c>
      <c r="H49">
        <v>1</v>
      </c>
    </row>
    <row r="50" spans="1:8">
      <c r="A50" t="s">
        <v>59</v>
      </c>
      <c r="B50" s="2">
        <v>46072</v>
      </c>
      <c r="C50" t="s">
        <v>9</v>
      </c>
      <c r="D50" s="3">
        <v>11170.43</v>
      </c>
      <c r="E50">
        <v>30</v>
      </c>
      <c r="F50" s="2">
        <v>46106</v>
      </c>
      <c r="G50">
        <v>34</v>
      </c>
      <c r="H50">
        <v>1</v>
      </c>
    </row>
    <row r="51" spans="1:8">
      <c r="A51" t="s">
        <v>60</v>
      </c>
      <c r="B51" s="2">
        <v>46191</v>
      </c>
      <c r="C51" t="s">
        <v>15</v>
      </c>
      <c r="D51" s="3">
        <v>2720.01</v>
      </c>
      <c r="E51">
        <v>45</v>
      </c>
      <c r="F51" s="2"/>
      <c r="G51">
        <v>12</v>
      </c>
      <c r="H51">
        <v>0</v>
      </c>
    </row>
    <row r="52" spans="1:8">
      <c r="A52" t="s">
        <v>61</v>
      </c>
      <c r="B52" s="2">
        <v>46077</v>
      </c>
      <c r="C52" t="s">
        <v>15</v>
      </c>
      <c r="D52" s="3">
        <v>5253.13</v>
      </c>
      <c r="E52">
        <v>30</v>
      </c>
      <c r="F52" s="2">
        <v>46110</v>
      </c>
      <c r="G52">
        <v>33</v>
      </c>
      <c r="H52">
        <v>1</v>
      </c>
    </row>
    <row r="53" spans="1:8">
      <c r="A53" t="s">
        <v>62</v>
      </c>
      <c r="B53" s="2">
        <v>46111</v>
      </c>
      <c r="C53" t="s">
        <v>15</v>
      </c>
      <c r="D53" s="3">
        <v>35796.25</v>
      </c>
      <c r="E53">
        <v>60</v>
      </c>
      <c r="F53" s="2">
        <v>46195</v>
      </c>
      <c r="G53">
        <v>84</v>
      </c>
      <c r="H53">
        <v>1</v>
      </c>
    </row>
    <row r="54" spans="1:8">
      <c r="A54" t="s">
        <v>63</v>
      </c>
      <c r="B54" s="2">
        <v>46145</v>
      </c>
      <c r="C54" t="s">
        <v>9</v>
      </c>
      <c r="D54" s="3">
        <v>2659.1</v>
      </c>
      <c r="E54">
        <v>45</v>
      </c>
      <c r="F54" s="2"/>
      <c r="G54">
        <v>58</v>
      </c>
      <c r="H54">
        <v>0</v>
      </c>
    </row>
    <row r="55" spans="1:8">
      <c r="A55" t="s">
        <v>64</v>
      </c>
      <c r="B55" s="2">
        <v>46110</v>
      </c>
      <c r="C55" t="s">
        <v>9</v>
      </c>
      <c r="D55" s="3">
        <v>1023.69</v>
      </c>
      <c r="E55">
        <v>30</v>
      </c>
      <c r="F55" s="2">
        <v>46165</v>
      </c>
      <c r="G55">
        <v>55</v>
      </c>
      <c r="H55">
        <v>1</v>
      </c>
    </row>
    <row r="56" spans="1:8">
      <c r="A56" t="s">
        <v>65</v>
      </c>
      <c r="B56" s="2">
        <v>46088</v>
      </c>
      <c r="C56" t="s">
        <v>9</v>
      </c>
      <c r="D56" s="3">
        <v>1320.78</v>
      </c>
      <c r="E56">
        <v>30</v>
      </c>
      <c r="F56" s="2">
        <v>46123</v>
      </c>
      <c r="G56">
        <v>35</v>
      </c>
      <c r="H56">
        <v>1</v>
      </c>
    </row>
    <row r="57" spans="1:8">
      <c r="A57" t="s">
        <v>66</v>
      </c>
      <c r="B57" s="2">
        <v>46183</v>
      </c>
      <c r="C57" t="s">
        <v>9</v>
      </c>
      <c r="D57" s="3">
        <v>8751.07</v>
      </c>
      <c r="E57">
        <v>30</v>
      </c>
      <c r="F57" s="2"/>
      <c r="G57">
        <v>20</v>
      </c>
      <c r="H57">
        <v>0</v>
      </c>
    </row>
    <row r="58" spans="1:8">
      <c r="A58" t="s">
        <v>67</v>
      </c>
      <c r="B58" s="2">
        <v>46064</v>
      </c>
      <c r="C58" t="s">
        <v>11</v>
      </c>
      <c r="D58" s="3">
        <v>8766.9</v>
      </c>
      <c r="E58">
        <v>60</v>
      </c>
      <c r="F58" s="2">
        <v>46143</v>
      </c>
      <c r="G58">
        <v>79</v>
      </c>
      <c r="H58">
        <v>1</v>
      </c>
    </row>
    <row r="59" spans="1:8">
      <c r="A59" t="s">
        <v>68</v>
      </c>
      <c r="B59" s="2">
        <v>46088</v>
      </c>
      <c r="C59" t="s">
        <v>11</v>
      </c>
      <c r="D59" s="3">
        <v>7556.86</v>
      </c>
      <c r="E59">
        <v>30</v>
      </c>
      <c r="F59" s="2">
        <v>46121</v>
      </c>
      <c r="G59">
        <v>33</v>
      </c>
      <c r="H59">
        <v>1</v>
      </c>
    </row>
    <row r="60" spans="1:8">
      <c r="A60" t="s">
        <v>69</v>
      </c>
      <c r="B60" s="2">
        <v>46193</v>
      </c>
      <c r="C60" t="s">
        <v>15</v>
      </c>
      <c r="D60" s="3">
        <v>28624.3</v>
      </c>
      <c r="E60">
        <v>45</v>
      </c>
      <c r="F60" s="2"/>
      <c r="G60">
        <v>10</v>
      </c>
      <c r="H60">
        <v>0</v>
      </c>
    </row>
    <row r="61" spans="1:8">
      <c r="A61" t="s">
        <v>70</v>
      </c>
      <c r="B61" s="2">
        <v>46156</v>
      </c>
      <c r="C61" t="s">
        <v>15</v>
      </c>
      <c r="D61" s="3">
        <v>586.98</v>
      </c>
      <c r="E61">
        <v>45</v>
      </c>
      <c r="F61" s="2"/>
      <c r="G61">
        <v>47</v>
      </c>
      <c r="H61">
        <v>0</v>
      </c>
    </row>
    <row r="62" spans="1:8">
      <c r="A62" t="s">
        <v>71</v>
      </c>
      <c r="B62" s="2">
        <v>46066</v>
      </c>
      <c r="C62" t="s">
        <v>9</v>
      </c>
      <c r="D62" s="3">
        <v>12629.05</v>
      </c>
      <c r="E62">
        <v>45</v>
      </c>
      <c r="F62" s="2">
        <v>46123</v>
      </c>
      <c r="G62">
        <v>57</v>
      </c>
      <c r="H62">
        <v>1</v>
      </c>
    </row>
    <row r="63" spans="1:8">
      <c r="A63" t="s">
        <v>72</v>
      </c>
      <c r="B63" s="2">
        <v>46159</v>
      </c>
      <c r="C63" t="s">
        <v>11</v>
      </c>
      <c r="D63" s="3">
        <v>40508.199999999997</v>
      </c>
      <c r="E63">
        <v>30</v>
      </c>
      <c r="F63" s="2">
        <v>46190</v>
      </c>
      <c r="G63">
        <v>31</v>
      </c>
      <c r="H63">
        <v>1</v>
      </c>
    </row>
    <row r="64" spans="1:8">
      <c r="A64" t="s">
        <v>73</v>
      </c>
      <c r="B64" s="2">
        <v>46189</v>
      </c>
      <c r="C64" t="s">
        <v>11</v>
      </c>
      <c r="D64" s="3">
        <v>2751.88</v>
      </c>
      <c r="E64">
        <v>60</v>
      </c>
      <c r="F64" s="2"/>
      <c r="G64">
        <v>14</v>
      </c>
      <c r="H64">
        <v>0</v>
      </c>
    </row>
    <row r="65" spans="1:8">
      <c r="A65" t="s">
        <v>74</v>
      </c>
      <c r="B65" s="2">
        <v>46067</v>
      </c>
      <c r="C65" t="s">
        <v>9</v>
      </c>
      <c r="D65" s="3">
        <v>5813.95</v>
      </c>
      <c r="E65">
        <v>30</v>
      </c>
      <c r="F65" s="2">
        <v>46115</v>
      </c>
      <c r="G65">
        <v>48</v>
      </c>
      <c r="H65">
        <v>1</v>
      </c>
    </row>
    <row r="66" spans="1:8">
      <c r="A66" t="s">
        <v>75</v>
      </c>
      <c r="B66" s="2">
        <v>46111</v>
      </c>
      <c r="C66" t="s">
        <v>11</v>
      </c>
      <c r="D66" s="3">
        <v>4003.52</v>
      </c>
      <c r="E66">
        <v>45</v>
      </c>
      <c r="F66" s="2">
        <v>46169</v>
      </c>
      <c r="G66">
        <v>58</v>
      </c>
      <c r="H66">
        <v>1</v>
      </c>
    </row>
    <row r="67" spans="1:8">
      <c r="A67" t="s">
        <v>76</v>
      </c>
      <c r="B67" s="2">
        <v>46119</v>
      </c>
      <c r="C67" t="s">
        <v>11</v>
      </c>
      <c r="D67" s="3">
        <v>3475.44</v>
      </c>
      <c r="E67">
        <v>45</v>
      </c>
      <c r="F67" s="2">
        <v>46164</v>
      </c>
      <c r="G67">
        <v>45</v>
      </c>
      <c r="H67">
        <v>1</v>
      </c>
    </row>
    <row r="68" spans="1:8">
      <c r="A68" t="s">
        <v>77</v>
      </c>
      <c r="B68" s="2">
        <v>46072</v>
      </c>
      <c r="C68" t="s">
        <v>11</v>
      </c>
      <c r="D68" s="3">
        <v>6133.74</v>
      </c>
      <c r="E68">
        <v>45</v>
      </c>
      <c r="F68" s="2">
        <v>46127</v>
      </c>
      <c r="G68">
        <v>55</v>
      </c>
      <c r="H68">
        <v>1</v>
      </c>
    </row>
    <row r="69" spans="1:8">
      <c r="A69" t="s">
        <v>78</v>
      </c>
      <c r="B69" s="2">
        <v>46082</v>
      </c>
      <c r="C69" t="s">
        <v>11</v>
      </c>
      <c r="D69" s="3">
        <v>35429.74</v>
      </c>
      <c r="E69">
        <v>60</v>
      </c>
      <c r="F69" s="2">
        <v>46163</v>
      </c>
      <c r="G69">
        <v>81</v>
      </c>
      <c r="H69">
        <v>1</v>
      </c>
    </row>
    <row r="70" spans="1:8">
      <c r="A70" t="s">
        <v>79</v>
      </c>
      <c r="B70" s="2">
        <v>46078</v>
      </c>
      <c r="C70" t="s">
        <v>15</v>
      </c>
      <c r="D70" s="3">
        <v>53380.89</v>
      </c>
      <c r="E70">
        <v>30</v>
      </c>
      <c r="F70" s="2">
        <v>46125</v>
      </c>
      <c r="G70">
        <v>47</v>
      </c>
      <c r="H70">
        <v>1</v>
      </c>
    </row>
    <row r="71" spans="1:8">
      <c r="A71" t="s">
        <v>80</v>
      </c>
      <c r="B71" s="2">
        <v>46079</v>
      </c>
      <c r="C71" t="s">
        <v>11</v>
      </c>
      <c r="D71" s="3">
        <v>6074.67</v>
      </c>
      <c r="E71">
        <v>30</v>
      </c>
      <c r="F71" s="2">
        <v>46138</v>
      </c>
      <c r="G71">
        <v>59</v>
      </c>
      <c r="H71">
        <v>1</v>
      </c>
    </row>
    <row r="72" spans="1:8">
      <c r="A72" t="s">
        <v>81</v>
      </c>
      <c r="B72" s="2">
        <v>46110</v>
      </c>
      <c r="C72" t="s">
        <v>15</v>
      </c>
      <c r="D72" s="3">
        <v>57118.400000000001</v>
      </c>
      <c r="E72">
        <v>30</v>
      </c>
      <c r="F72" s="2">
        <v>46165</v>
      </c>
      <c r="G72">
        <v>55</v>
      </c>
      <c r="H72">
        <v>1</v>
      </c>
    </row>
    <row r="73" spans="1:8">
      <c r="A73" t="s">
        <v>82</v>
      </c>
      <c r="B73" s="2">
        <v>46118</v>
      </c>
      <c r="C73" t="s">
        <v>11</v>
      </c>
      <c r="D73" s="3">
        <v>8807.84</v>
      </c>
      <c r="E73">
        <v>30</v>
      </c>
      <c r="F73" s="2">
        <v>46147</v>
      </c>
      <c r="G73">
        <v>29</v>
      </c>
      <c r="H73">
        <v>1</v>
      </c>
    </row>
    <row r="74" spans="1:8">
      <c r="A74" t="s">
        <v>83</v>
      </c>
      <c r="B74" s="2">
        <v>46087</v>
      </c>
      <c r="C74" t="s">
        <v>9</v>
      </c>
      <c r="D74" s="3">
        <v>49095</v>
      </c>
      <c r="E74">
        <v>30</v>
      </c>
      <c r="F74" s="2">
        <v>46159</v>
      </c>
      <c r="G74">
        <v>72</v>
      </c>
      <c r="H74">
        <v>1</v>
      </c>
    </row>
    <row r="75" spans="1:8">
      <c r="A75" t="s">
        <v>84</v>
      </c>
      <c r="B75" s="2">
        <v>46094</v>
      </c>
      <c r="C75" t="s">
        <v>15</v>
      </c>
      <c r="D75" s="3">
        <v>7742.83</v>
      </c>
      <c r="E75">
        <v>30</v>
      </c>
      <c r="F75" s="2">
        <v>46122</v>
      </c>
      <c r="G75">
        <v>28</v>
      </c>
      <c r="H75">
        <v>1</v>
      </c>
    </row>
    <row r="76" spans="1:8">
      <c r="A76" t="s">
        <v>85</v>
      </c>
      <c r="B76" s="2">
        <v>46080</v>
      </c>
      <c r="C76" t="s">
        <v>15</v>
      </c>
      <c r="D76" s="3">
        <v>9690.2900000000009</v>
      </c>
      <c r="E76">
        <v>30</v>
      </c>
      <c r="F76" s="2">
        <v>46127</v>
      </c>
      <c r="G76">
        <v>47</v>
      </c>
      <c r="H76">
        <v>1</v>
      </c>
    </row>
    <row r="77" spans="1:8">
      <c r="A77" t="s">
        <v>86</v>
      </c>
      <c r="B77" s="2">
        <v>46165</v>
      </c>
      <c r="C77" t="s">
        <v>15</v>
      </c>
      <c r="D77" s="3">
        <v>12250.18</v>
      </c>
      <c r="E77">
        <v>30</v>
      </c>
      <c r="F77" s="2">
        <v>46201</v>
      </c>
      <c r="G77">
        <v>36</v>
      </c>
      <c r="H77">
        <v>1</v>
      </c>
    </row>
    <row r="78" spans="1:8">
      <c r="A78" t="s">
        <v>87</v>
      </c>
      <c r="B78" s="2">
        <v>46083</v>
      </c>
      <c r="C78" t="s">
        <v>15</v>
      </c>
      <c r="D78" s="3">
        <v>204163.23</v>
      </c>
      <c r="E78">
        <v>30</v>
      </c>
      <c r="F78" s="2">
        <v>46120</v>
      </c>
      <c r="G78">
        <v>37</v>
      </c>
      <c r="H78">
        <v>1</v>
      </c>
    </row>
    <row r="79" spans="1:8">
      <c r="A79" t="s">
        <v>88</v>
      </c>
      <c r="B79" s="2">
        <v>46181</v>
      </c>
      <c r="C79" t="s">
        <v>9</v>
      </c>
      <c r="D79" s="3">
        <v>19912.580000000002</v>
      </c>
      <c r="E79">
        <v>45</v>
      </c>
      <c r="F79" s="2"/>
      <c r="G79">
        <v>22</v>
      </c>
      <c r="H79">
        <v>0</v>
      </c>
    </row>
    <row r="80" spans="1:8">
      <c r="A80" t="s">
        <v>89</v>
      </c>
      <c r="B80" s="2">
        <v>46129</v>
      </c>
      <c r="C80" t="s">
        <v>11</v>
      </c>
      <c r="D80" s="3">
        <v>4190.42</v>
      </c>
      <c r="E80">
        <v>45</v>
      </c>
      <c r="F80" s="2">
        <v>46181</v>
      </c>
      <c r="G80">
        <v>52</v>
      </c>
      <c r="H80">
        <v>1</v>
      </c>
    </row>
    <row r="81" spans="1:8">
      <c r="A81" t="s">
        <v>90</v>
      </c>
      <c r="B81" s="2">
        <v>46166</v>
      </c>
      <c r="C81" t="s">
        <v>9</v>
      </c>
      <c r="D81" s="3">
        <v>22400.07</v>
      </c>
      <c r="E81">
        <v>30</v>
      </c>
      <c r="F81" s="2">
        <v>46197</v>
      </c>
      <c r="G81">
        <v>31</v>
      </c>
      <c r="H81">
        <v>1</v>
      </c>
    </row>
    <row r="82" spans="1:8">
      <c r="A82" t="s">
        <v>91</v>
      </c>
      <c r="B82" s="2">
        <v>46143</v>
      </c>
      <c r="C82" t="s">
        <v>9</v>
      </c>
      <c r="D82" s="3">
        <v>5919.39</v>
      </c>
      <c r="E82">
        <v>30</v>
      </c>
      <c r="F82" s="2">
        <v>46201</v>
      </c>
      <c r="G82">
        <v>58</v>
      </c>
      <c r="H82">
        <v>1</v>
      </c>
    </row>
    <row r="83" spans="1:8">
      <c r="A83" t="s">
        <v>92</v>
      </c>
      <c r="B83" s="2">
        <v>46091</v>
      </c>
      <c r="C83" t="s">
        <v>11</v>
      </c>
      <c r="D83" s="3">
        <v>5208.63</v>
      </c>
      <c r="E83">
        <v>30</v>
      </c>
      <c r="F83" s="2">
        <v>46149</v>
      </c>
      <c r="G83">
        <v>58</v>
      </c>
      <c r="H83">
        <v>1</v>
      </c>
    </row>
    <row r="84" spans="1:8">
      <c r="A84" t="s">
        <v>93</v>
      </c>
      <c r="B84" s="2">
        <v>46138</v>
      </c>
      <c r="C84" t="s">
        <v>9</v>
      </c>
      <c r="D84" s="3">
        <v>21087.23</v>
      </c>
      <c r="E84">
        <v>45</v>
      </c>
      <c r="F84" s="2">
        <v>46193</v>
      </c>
      <c r="G84">
        <v>55</v>
      </c>
      <c r="H84">
        <v>1</v>
      </c>
    </row>
    <row r="85" spans="1:8">
      <c r="A85" t="s">
        <v>94</v>
      </c>
      <c r="B85" s="2">
        <v>46092</v>
      </c>
      <c r="C85" t="s">
        <v>15</v>
      </c>
      <c r="D85" s="3">
        <v>8768.3799999999992</v>
      </c>
      <c r="E85">
        <v>30</v>
      </c>
      <c r="F85" s="2">
        <v>46130</v>
      </c>
      <c r="G85">
        <v>38</v>
      </c>
      <c r="H85">
        <v>1</v>
      </c>
    </row>
    <row r="86" spans="1:8">
      <c r="A86" t="s">
        <v>95</v>
      </c>
      <c r="B86" s="2">
        <v>46070</v>
      </c>
      <c r="C86" t="s">
        <v>15</v>
      </c>
      <c r="D86" s="3">
        <v>11230.6</v>
      </c>
      <c r="E86">
        <v>30</v>
      </c>
      <c r="F86" s="2">
        <v>46096</v>
      </c>
      <c r="G86">
        <v>26</v>
      </c>
      <c r="H86">
        <v>1</v>
      </c>
    </row>
    <row r="87" spans="1:8">
      <c r="A87" t="s">
        <v>96</v>
      </c>
      <c r="B87" s="2">
        <v>46089</v>
      </c>
      <c r="C87" t="s">
        <v>15</v>
      </c>
      <c r="D87" s="3">
        <v>8619.7099999999991</v>
      </c>
      <c r="E87">
        <v>30</v>
      </c>
      <c r="F87" s="2">
        <v>46116</v>
      </c>
      <c r="G87">
        <v>27</v>
      </c>
      <c r="H87">
        <v>1</v>
      </c>
    </row>
    <row r="88" spans="1:8">
      <c r="A88" t="s">
        <v>97</v>
      </c>
      <c r="B88" s="2">
        <v>46092</v>
      </c>
      <c r="C88" t="s">
        <v>9</v>
      </c>
      <c r="D88" s="3">
        <v>11901.32</v>
      </c>
      <c r="E88">
        <v>30</v>
      </c>
      <c r="F88" s="2">
        <v>46149</v>
      </c>
      <c r="G88">
        <v>57</v>
      </c>
      <c r="H88">
        <v>1</v>
      </c>
    </row>
    <row r="89" spans="1:8">
      <c r="A89" t="s">
        <v>98</v>
      </c>
      <c r="B89" s="2">
        <v>46072</v>
      </c>
      <c r="C89" t="s">
        <v>11</v>
      </c>
      <c r="D89" s="3">
        <v>13001.08</v>
      </c>
      <c r="E89">
        <v>30</v>
      </c>
      <c r="F89" s="2">
        <v>46113</v>
      </c>
      <c r="G89">
        <v>41</v>
      </c>
      <c r="H89">
        <v>1</v>
      </c>
    </row>
    <row r="90" spans="1:8">
      <c r="A90" t="s">
        <v>99</v>
      </c>
      <c r="B90" s="2">
        <v>46057</v>
      </c>
      <c r="C90" t="s">
        <v>15</v>
      </c>
      <c r="D90" s="3">
        <v>1225.19</v>
      </c>
      <c r="E90">
        <v>45</v>
      </c>
      <c r="F90" s="2">
        <v>46125</v>
      </c>
      <c r="G90">
        <v>68</v>
      </c>
      <c r="H90">
        <v>1</v>
      </c>
    </row>
    <row r="91" spans="1:8">
      <c r="A91" t="s">
        <v>100</v>
      </c>
      <c r="B91" s="2">
        <v>46186</v>
      </c>
      <c r="C91" t="s">
        <v>11</v>
      </c>
      <c r="D91" s="3">
        <v>16554.18</v>
      </c>
      <c r="E91">
        <v>45</v>
      </c>
      <c r="F91" s="2"/>
      <c r="G91">
        <v>17</v>
      </c>
      <c r="H91">
        <v>0</v>
      </c>
    </row>
    <row r="92" spans="1:8">
      <c r="A92" t="s">
        <v>101</v>
      </c>
      <c r="B92" s="2">
        <v>46125</v>
      </c>
      <c r="C92" t="s">
        <v>15</v>
      </c>
      <c r="D92" s="3">
        <v>3183.71</v>
      </c>
      <c r="E92">
        <v>45</v>
      </c>
      <c r="F92" s="2">
        <v>46185</v>
      </c>
      <c r="G92">
        <v>60</v>
      </c>
      <c r="H92">
        <v>1</v>
      </c>
    </row>
    <row r="93" spans="1:8">
      <c r="A93" t="s">
        <v>102</v>
      </c>
      <c r="B93" s="2">
        <v>46110</v>
      </c>
      <c r="C93" t="s">
        <v>9</v>
      </c>
      <c r="D93" s="3">
        <v>2009.26</v>
      </c>
      <c r="E93">
        <v>45</v>
      </c>
      <c r="F93" s="2">
        <v>46172</v>
      </c>
      <c r="G93">
        <v>62</v>
      </c>
      <c r="H93">
        <v>1</v>
      </c>
    </row>
    <row r="94" spans="1:8">
      <c r="A94" t="s">
        <v>103</v>
      </c>
      <c r="B94" s="2">
        <v>46184</v>
      </c>
      <c r="C94" t="s">
        <v>11</v>
      </c>
      <c r="D94" s="3">
        <v>8017.73</v>
      </c>
      <c r="E94">
        <v>45</v>
      </c>
      <c r="F94" s="2"/>
      <c r="G94">
        <v>19</v>
      </c>
      <c r="H94">
        <v>0</v>
      </c>
    </row>
    <row r="95" spans="1:8">
      <c r="A95" t="s">
        <v>104</v>
      </c>
      <c r="B95" s="2">
        <v>46085</v>
      </c>
      <c r="C95" t="s">
        <v>11</v>
      </c>
      <c r="D95" s="3">
        <v>9244.67</v>
      </c>
      <c r="E95">
        <v>30</v>
      </c>
      <c r="F95" s="2">
        <v>46120</v>
      </c>
      <c r="G95">
        <v>35</v>
      </c>
      <c r="H95">
        <v>1</v>
      </c>
    </row>
    <row r="96" spans="1:8">
      <c r="A96" t="s">
        <v>105</v>
      </c>
      <c r="B96" s="2">
        <v>46110</v>
      </c>
      <c r="C96" t="s">
        <v>11</v>
      </c>
      <c r="D96" s="3">
        <v>4248.47</v>
      </c>
      <c r="E96">
        <v>45</v>
      </c>
      <c r="F96" s="2">
        <v>46164</v>
      </c>
      <c r="G96">
        <v>54</v>
      </c>
      <c r="H96">
        <v>1</v>
      </c>
    </row>
    <row r="97" spans="1:8">
      <c r="A97" t="s">
        <v>106</v>
      </c>
      <c r="B97" s="2">
        <v>46172</v>
      </c>
      <c r="C97" t="s">
        <v>11</v>
      </c>
      <c r="D97" s="3">
        <v>19513.330000000002</v>
      </c>
      <c r="E97">
        <v>30</v>
      </c>
      <c r="F97" s="2"/>
      <c r="G97">
        <v>31</v>
      </c>
      <c r="H97">
        <v>0</v>
      </c>
    </row>
    <row r="98" spans="1:8">
      <c r="A98" t="s">
        <v>107</v>
      </c>
      <c r="B98" s="2">
        <v>46142</v>
      </c>
      <c r="C98" t="s">
        <v>11</v>
      </c>
      <c r="D98" s="3">
        <v>2220.85</v>
      </c>
      <c r="E98">
        <v>30</v>
      </c>
      <c r="F98" s="2">
        <v>46171</v>
      </c>
      <c r="G98">
        <v>29</v>
      </c>
      <c r="H98">
        <v>1</v>
      </c>
    </row>
    <row r="99" spans="1:8">
      <c r="A99" t="s">
        <v>108</v>
      </c>
      <c r="B99" s="2">
        <v>46109</v>
      </c>
      <c r="C99" t="s">
        <v>15</v>
      </c>
      <c r="D99" s="3">
        <v>5658.29</v>
      </c>
      <c r="E99">
        <v>45</v>
      </c>
      <c r="F99" s="2">
        <v>46166</v>
      </c>
      <c r="G99">
        <v>57</v>
      </c>
      <c r="H99">
        <v>1</v>
      </c>
    </row>
    <row r="100" spans="1:8">
      <c r="A100" t="s">
        <v>109</v>
      </c>
      <c r="B100" s="2">
        <v>46089</v>
      </c>
      <c r="C100" t="s">
        <v>15</v>
      </c>
      <c r="D100" s="3">
        <v>4736</v>
      </c>
      <c r="E100">
        <v>30</v>
      </c>
      <c r="F100" s="2">
        <v>46130</v>
      </c>
      <c r="G100">
        <v>41</v>
      </c>
      <c r="H100">
        <v>1</v>
      </c>
    </row>
    <row r="101" spans="1:8">
      <c r="A101" t="s">
        <v>110</v>
      </c>
      <c r="B101" s="2">
        <v>46058</v>
      </c>
      <c r="C101" t="s">
        <v>9</v>
      </c>
      <c r="D101" s="3">
        <v>8113.09</v>
      </c>
      <c r="E101">
        <v>30</v>
      </c>
      <c r="F101" s="2">
        <v>46112</v>
      </c>
      <c r="G101">
        <v>54</v>
      </c>
      <c r="H101">
        <v>1</v>
      </c>
    </row>
    <row r="102" spans="1:8">
      <c r="A102" t="s">
        <v>111</v>
      </c>
      <c r="B102" s="2">
        <v>46065</v>
      </c>
      <c r="C102" t="s">
        <v>9</v>
      </c>
      <c r="D102" s="3">
        <v>11233.84</v>
      </c>
      <c r="E102">
        <v>45</v>
      </c>
      <c r="F102" s="2">
        <v>46146</v>
      </c>
      <c r="G102">
        <v>81</v>
      </c>
      <c r="H102">
        <v>1</v>
      </c>
    </row>
    <row r="103" spans="1:8">
      <c r="A103" t="s">
        <v>112</v>
      </c>
      <c r="B103" s="2">
        <v>46076</v>
      </c>
      <c r="C103" t="s">
        <v>9</v>
      </c>
      <c r="D103" s="3">
        <v>3102.39</v>
      </c>
      <c r="E103">
        <v>60</v>
      </c>
      <c r="F103" s="2">
        <v>46169</v>
      </c>
      <c r="G103">
        <v>93</v>
      </c>
      <c r="H103">
        <v>1</v>
      </c>
    </row>
    <row r="104" spans="1:8">
      <c r="A104" t="s">
        <v>113</v>
      </c>
      <c r="B104" s="2">
        <v>46164</v>
      </c>
      <c r="C104" t="s">
        <v>15</v>
      </c>
      <c r="D104" s="3">
        <v>17537.63</v>
      </c>
      <c r="E104">
        <v>60</v>
      </c>
      <c r="F104" s="2"/>
      <c r="G104">
        <v>39</v>
      </c>
      <c r="H104">
        <v>0</v>
      </c>
    </row>
    <row r="105" spans="1:8">
      <c r="A105" t="s">
        <v>114</v>
      </c>
      <c r="B105" s="2">
        <v>46143</v>
      </c>
      <c r="C105" t="s">
        <v>9</v>
      </c>
      <c r="D105" s="3">
        <v>9052.75</v>
      </c>
      <c r="E105">
        <v>30</v>
      </c>
      <c r="F105" s="2">
        <v>46195</v>
      </c>
      <c r="G105">
        <v>52</v>
      </c>
      <c r="H105">
        <v>1</v>
      </c>
    </row>
    <row r="106" spans="1:8">
      <c r="A106" t="s">
        <v>115</v>
      </c>
      <c r="B106" s="2">
        <v>46114</v>
      </c>
      <c r="C106" t="s">
        <v>9</v>
      </c>
      <c r="D106" s="3">
        <v>1281.6099999999999</v>
      </c>
      <c r="E106">
        <v>30</v>
      </c>
      <c r="F106" s="2">
        <v>46152</v>
      </c>
      <c r="G106">
        <v>38</v>
      </c>
      <c r="H106">
        <v>1</v>
      </c>
    </row>
    <row r="107" spans="1:8">
      <c r="A107" t="s">
        <v>116</v>
      </c>
      <c r="B107" s="2">
        <v>46163</v>
      </c>
      <c r="C107" t="s">
        <v>9</v>
      </c>
      <c r="D107" s="3">
        <v>1198.98</v>
      </c>
      <c r="E107">
        <v>45</v>
      </c>
      <c r="F107" s="2"/>
      <c r="G107">
        <v>40</v>
      </c>
      <c r="H107">
        <v>0</v>
      </c>
    </row>
    <row r="108" spans="1:8">
      <c r="A108" t="s">
        <v>117</v>
      </c>
      <c r="B108" s="2">
        <v>46076</v>
      </c>
      <c r="C108" t="s">
        <v>11</v>
      </c>
      <c r="D108" s="3">
        <v>8395.93</v>
      </c>
      <c r="E108">
        <v>30</v>
      </c>
      <c r="F108" s="2">
        <v>46109</v>
      </c>
      <c r="G108">
        <v>33</v>
      </c>
      <c r="H108">
        <v>1</v>
      </c>
    </row>
    <row r="109" spans="1:8">
      <c r="A109" t="s">
        <v>118</v>
      </c>
      <c r="B109" s="2">
        <v>46083</v>
      </c>
      <c r="C109" t="s">
        <v>15</v>
      </c>
      <c r="D109" s="3">
        <v>6814.81</v>
      </c>
      <c r="E109">
        <v>45</v>
      </c>
      <c r="F109" s="2">
        <v>46152</v>
      </c>
      <c r="G109">
        <v>69</v>
      </c>
      <c r="H109">
        <v>1</v>
      </c>
    </row>
    <row r="110" spans="1:8">
      <c r="A110" t="s">
        <v>119</v>
      </c>
      <c r="B110" s="2">
        <v>46108</v>
      </c>
      <c r="C110" t="s">
        <v>15</v>
      </c>
      <c r="D110" s="3">
        <v>7664.86</v>
      </c>
      <c r="E110">
        <v>30</v>
      </c>
      <c r="F110" s="2">
        <v>46147</v>
      </c>
      <c r="G110">
        <v>39</v>
      </c>
      <c r="H110">
        <v>1</v>
      </c>
    </row>
    <row r="111" spans="1:8">
      <c r="A111" t="s">
        <v>120</v>
      </c>
      <c r="B111" s="2">
        <v>46182</v>
      </c>
      <c r="C111" t="s">
        <v>9</v>
      </c>
      <c r="D111" s="3">
        <v>8265.4500000000007</v>
      </c>
      <c r="E111">
        <v>30</v>
      </c>
      <c r="F111" s="2"/>
      <c r="G111">
        <v>21</v>
      </c>
      <c r="H111">
        <v>0</v>
      </c>
    </row>
    <row r="112" spans="1:8">
      <c r="A112" t="s">
        <v>121</v>
      </c>
      <c r="B112" s="2">
        <v>46139</v>
      </c>
      <c r="C112" t="s">
        <v>11</v>
      </c>
      <c r="D112" s="3">
        <v>10650.7</v>
      </c>
      <c r="E112">
        <v>30</v>
      </c>
      <c r="F112" s="2">
        <v>46194</v>
      </c>
      <c r="G112">
        <v>55</v>
      </c>
      <c r="H112">
        <v>1</v>
      </c>
    </row>
    <row r="113" spans="1:8">
      <c r="A113" t="s">
        <v>122</v>
      </c>
      <c r="B113" s="2">
        <v>46173</v>
      </c>
      <c r="C113" t="s">
        <v>15</v>
      </c>
      <c r="D113" s="3">
        <v>21926.93</v>
      </c>
      <c r="E113">
        <v>45</v>
      </c>
      <c r="F113" s="2">
        <v>46199</v>
      </c>
      <c r="G113">
        <v>26</v>
      </c>
      <c r="H113">
        <v>1</v>
      </c>
    </row>
    <row r="114" spans="1:8">
      <c r="A114" t="s">
        <v>123</v>
      </c>
      <c r="B114" s="2">
        <v>46088</v>
      </c>
      <c r="C114" t="s">
        <v>11</v>
      </c>
      <c r="D114" s="3">
        <v>2798.16</v>
      </c>
      <c r="E114">
        <v>30</v>
      </c>
      <c r="F114" s="2">
        <v>46103</v>
      </c>
      <c r="G114">
        <v>15</v>
      </c>
      <c r="H114">
        <v>1</v>
      </c>
    </row>
    <row r="115" spans="1:8">
      <c r="A115" t="s">
        <v>124</v>
      </c>
      <c r="B115" s="2">
        <v>46172</v>
      </c>
      <c r="C115" t="s">
        <v>11</v>
      </c>
      <c r="D115" s="3">
        <v>2632.92</v>
      </c>
      <c r="E115">
        <v>30</v>
      </c>
      <c r="F115" s="2"/>
      <c r="G115">
        <v>31</v>
      </c>
      <c r="H115">
        <v>0</v>
      </c>
    </row>
    <row r="116" spans="1:8">
      <c r="A116" t="s">
        <v>125</v>
      </c>
      <c r="B116" s="2">
        <v>46064</v>
      </c>
      <c r="C116" t="s">
        <v>15</v>
      </c>
      <c r="D116" s="3">
        <v>2848.36</v>
      </c>
      <c r="E116">
        <v>30</v>
      </c>
      <c r="F116" s="2">
        <v>46098</v>
      </c>
      <c r="G116">
        <v>34</v>
      </c>
      <c r="H116">
        <v>1</v>
      </c>
    </row>
    <row r="117" spans="1:8">
      <c r="A117" t="s">
        <v>126</v>
      </c>
      <c r="B117" s="2">
        <v>46085</v>
      </c>
      <c r="C117" t="s">
        <v>9</v>
      </c>
      <c r="D117" s="3">
        <v>11347.33</v>
      </c>
      <c r="E117">
        <v>30</v>
      </c>
      <c r="F117" s="2">
        <v>46136</v>
      </c>
      <c r="G117">
        <v>51</v>
      </c>
      <c r="H117">
        <v>1</v>
      </c>
    </row>
    <row r="118" spans="1:8">
      <c r="A118" t="s">
        <v>127</v>
      </c>
      <c r="B118" s="2">
        <v>46127</v>
      </c>
      <c r="C118" t="s">
        <v>9</v>
      </c>
      <c r="D118" s="3">
        <v>29518.39</v>
      </c>
      <c r="E118">
        <v>30</v>
      </c>
      <c r="F118" s="2">
        <v>46162</v>
      </c>
      <c r="G118">
        <v>35</v>
      </c>
      <c r="H118">
        <v>1</v>
      </c>
    </row>
    <row r="119" spans="1:8">
      <c r="A119" t="s">
        <v>128</v>
      </c>
      <c r="B119" s="2">
        <v>46061</v>
      </c>
      <c r="C119" t="s">
        <v>9</v>
      </c>
      <c r="D119" s="3">
        <v>5521.93</v>
      </c>
      <c r="E119">
        <v>45</v>
      </c>
      <c r="F119" s="2">
        <v>46122</v>
      </c>
      <c r="G119">
        <v>61</v>
      </c>
      <c r="H119">
        <v>1</v>
      </c>
    </row>
    <row r="120" spans="1:8">
      <c r="A120" t="s">
        <v>129</v>
      </c>
      <c r="B120" s="2">
        <v>46174</v>
      </c>
      <c r="C120" t="s">
        <v>11</v>
      </c>
      <c r="D120" s="3">
        <v>696.54</v>
      </c>
      <c r="E120">
        <v>30</v>
      </c>
      <c r="F120" s="2"/>
      <c r="G120">
        <v>29</v>
      </c>
      <c r="H120">
        <v>0</v>
      </c>
    </row>
    <row r="121" spans="1:8">
      <c r="A121" t="s">
        <v>130</v>
      </c>
      <c r="B121" s="2">
        <v>46175</v>
      </c>
      <c r="C121" t="s">
        <v>11</v>
      </c>
      <c r="D121" s="3">
        <v>1546.62</v>
      </c>
      <c r="E121">
        <v>45</v>
      </c>
      <c r="F121" s="2"/>
      <c r="G121">
        <v>28</v>
      </c>
      <c r="H121">
        <v>0</v>
      </c>
    </row>
    <row r="122" spans="1:8">
      <c r="A122" t="s">
        <v>131</v>
      </c>
      <c r="B122" s="2">
        <v>46129</v>
      </c>
      <c r="C122" t="s">
        <v>11</v>
      </c>
      <c r="D122" s="3">
        <v>3695.18</v>
      </c>
      <c r="E122">
        <v>60</v>
      </c>
      <c r="F122" s="2">
        <v>46200</v>
      </c>
      <c r="G122">
        <v>71</v>
      </c>
      <c r="H122">
        <v>1</v>
      </c>
    </row>
    <row r="123" spans="1:8">
      <c r="A123" t="s">
        <v>132</v>
      </c>
      <c r="B123" s="2">
        <v>46096</v>
      </c>
      <c r="C123" t="s">
        <v>11</v>
      </c>
      <c r="D123" s="3">
        <v>4866.32</v>
      </c>
      <c r="E123">
        <v>30</v>
      </c>
      <c r="F123" s="2">
        <v>46130</v>
      </c>
      <c r="G123">
        <v>34</v>
      </c>
      <c r="H123">
        <v>1</v>
      </c>
    </row>
    <row r="124" spans="1:8">
      <c r="A124" t="s">
        <v>133</v>
      </c>
      <c r="B124" s="2">
        <v>46067</v>
      </c>
      <c r="C124" t="s">
        <v>15</v>
      </c>
      <c r="D124" s="3">
        <v>5650.12</v>
      </c>
      <c r="E124">
        <v>30</v>
      </c>
      <c r="F124" s="2">
        <v>46096</v>
      </c>
      <c r="G124">
        <v>29</v>
      </c>
      <c r="H124">
        <v>1</v>
      </c>
    </row>
    <row r="125" spans="1:8">
      <c r="A125" t="s">
        <v>134</v>
      </c>
      <c r="B125" s="2">
        <v>46140</v>
      </c>
      <c r="C125" t="s">
        <v>11</v>
      </c>
      <c r="D125" s="3">
        <v>8834.35</v>
      </c>
      <c r="E125">
        <v>45</v>
      </c>
      <c r="F125" s="2">
        <v>46170</v>
      </c>
      <c r="G125">
        <v>30</v>
      </c>
      <c r="H125">
        <v>1</v>
      </c>
    </row>
    <row r="126" spans="1:8">
      <c r="A126" t="s">
        <v>135</v>
      </c>
      <c r="B126" s="2">
        <v>46129</v>
      </c>
      <c r="C126" t="s">
        <v>15</v>
      </c>
      <c r="D126" s="3">
        <v>6223.42</v>
      </c>
      <c r="E126">
        <v>30</v>
      </c>
      <c r="F126" s="2">
        <v>46166</v>
      </c>
      <c r="G126">
        <v>37</v>
      </c>
      <c r="H126">
        <v>1</v>
      </c>
    </row>
    <row r="127" spans="1:8">
      <c r="A127" t="s">
        <v>136</v>
      </c>
      <c r="B127" s="2">
        <v>46160</v>
      </c>
      <c r="C127" t="s">
        <v>11</v>
      </c>
      <c r="D127" s="3">
        <v>24274</v>
      </c>
      <c r="E127">
        <v>30</v>
      </c>
      <c r="F127" s="2"/>
      <c r="G127">
        <v>43</v>
      </c>
      <c r="H127">
        <v>0</v>
      </c>
    </row>
    <row r="128" spans="1:8">
      <c r="A128" t="s">
        <v>137</v>
      </c>
      <c r="B128" s="2">
        <v>46138</v>
      </c>
      <c r="C128" t="s">
        <v>11</v>
      </c>
      <c r="D128" s="3">
        <v>4323.43</v>
      </c>
      <c r="E128">
        <v>60</v>
      </c>
      <c r="F128" s="2">
        <v>46189</v>
      </c>
      <c r="G128">
        <v>51</v>
      </c>
      <c r="H128">
        <v>1</v>
      </c>
    </row>
    <row r="129" spans="1:8">
      <c r="A129" t="s">
        <v>138</v>
      </c>
      <c r="B129" s="2">
        <v>46071</v>
      </c>
      <c r="C129" t="s">
        <v>15</v>
      </c>
      <c r="D129" s="3">
        <v>3588.55</v>
      </c>
      <c r="E129">
        <v>60</v>
      </c>
      <c r="F129" s="2">
        <v>46126</v>
      </c>
      <c r="G129">
        <v>55</v>
      </c>
      <c r="H129">
        <v>1</v>
      </c>
    </row>
    <row r="130" spans="1:8">
      <c r="A130" t="s">
        <v>139</v>
      </c>
      <c r="B130" s="2">
        <v>46071</v>
      </c>
      <c r="C130" t="s">
        <v>15</v>
      </c>
      <c r="D130" s="3">
        <v>13721.19</v>
      </c>
      <c r="E130">
        <v>45</v>
      </c>
      <c r="F130" s="2">
        <v>46108</v>
      </c>
      <c r="G130">
        <v>37</v>
      </c>
      <c r="H130">
        <v>1</v>
      </c>
    </row>
    <row r="131" spans="1:8">
      <c r="A131" t="s">
        <v>140</v>
      </c>
      <c r="B131" s="2">
        <v>46163</v>
      </c>
      <c r="C131" t="s">
        <v>11</v>
      </c>
      <c r="D131" s="3">
        <v>1830.2</v>
      </c>
      <c r="E131">
        <v>30</v>
      </c>
      <c r="F131" s="2">
        <v>46190</v>
      </c>
      <c r="G131">
        <v>27</v>
      </c>
      <c r="H131">
        <v>1</v>
      </c>
    </row>
    <row r="132" spans="1:8">
      <c r="A132" t="s">
        <v>141</v>
      </c>
      <c r="B132" s="2">
        <v>46076</v>
      </c>
      <c r="C132" t="s">
        <v>15</v>
      </c>
      <c r="D132" s="3">
        <v>12550.47</v>
      </c>
      <c r="E132">
        <v>45</v>
      </c>
      <c r="F132" s="2">
        <v>46127</v>
      </c>
      <c r="G132">
        <v>51</v>
      </c>
      <c r="H132">
        <v>1</v>
      </c>
    </row>
    <row r="133" spans="1:8">
      <c r="A133" t="s">
        <v>142</v>
      </c>
      <c r="B133" s="2">
        <v>46185</v>
      </c>
      <c r="C133" t="s">
        <v>9</v>
      </c>
      <c r="D133" s="3">
        <v>9417.9699999999993</v>
      </c>
      <c r="E133">
        <v>45</v>
      </c>
      <c r="F133" s="2"/>
      <c r="G133">
        <v>18</v>
      </c>
      <c r="H133">
        <v>0</v>
      </c>
    </row>
    <row r="134" spans="1:8">
      <c r="A134" t="s">
        <v>143</v>
      </c>
      <c r="B134" s="2">
        <v>46068</v>
      </c>
      <c r="C134" t="s">
        <v>11</v>
      </c>
      <c r="D134" s="3">
        <v>7334.75</v>
      </c>
      <c r="E134">
        <v>30</v>
      </c>
      <c r="F134" s="2">
        <v>46116</v>
      </c>
      <c r="G134">
        <v>48</v>
      </c>
      <c r="H134">
        <v>1</v>
      </c>
    </row>
    <row r="135" spans="1:8">
      <c r="A135" t="s">
        <v>144</v>
      </c>
      <c r="B135" s="2">
        <v>46155</v>
      </c>
      <c r="C135" t="s">
        <v>11</v>
      </c>
      <c r="D135" s="3">
        <v>41610.07</v>
      </c>
      <c r="E135">
        <v>45</v>
      </c>
      <c r="F135" s="2"/>
      <c r="G135">
        <v>48</v>
      </c>
      <c r="H135">
        <v>0</v>
      </c>
    </row>
    <row r="136" spans="1:8">
      <c r="A136" t="s">
        <v>145</v>
      </c>
      <c r="B136" s="2">
        <v>46190</v>
      </c>
      <c r="C136" t="s">
        <v>11</v>
      </c>
      <c r="D136" s="3">
        <v>4562.45</v>
      </c>
      <c r="E136">
        <v>30</v>
      </c>
      <c r="F136" s="2"/>
      <c r="G136">
        <v>13</v>
      </c>
      <c r="H136">
        <v>0</v>
      </c>
    </row>
    <row r="137" spans="1:8">
      <c r="A137" t="s">
        <v>146</v>
      </c>
      <c r="B137" s="2">
        <v>46115</v>
      </c>
      <c r="C137" t="s">
        <v>15</v>
      </c>
      <c r="D137" s="3">
        <v>66710.63</v>
      </c>
      <c r="E137">
        <v>30</v>
      </c>
      <c r="F137" s="2">
        <v>46125</v>
      </c>
      <c r="G137">
        <v>10</v>
      </c>
      <c r="H137">
        <v>1</v>
      </c>
    </row>
    <row r="138" spans="1:8">
      <c r="A138" t="s">
        <v>147</v>
      </c>
      <c r="B138" s="2">
        <v>46061</v>
      </c>
      <c r="C138" t="s">
        <v>9</v>
      </c>
      <c r="D138" s="3">
        <v>6784.46</v>
      </c>
      <c r="E138">
        <v>30</v>
      </c>
      <c r="F138" s="2">
        <v>46096</v>
      </c>
      <c r="G138">
        <v>35</v>
      </c>
      <c r="H138">
        <v>1</v>
      </c>
    </row>
    <row r="139" spans="1:8">
      <c r="A139" t="s">
        <v>148</v>
      </c>
      <c r="B139" s="2">
        <v>46176</v>
      </c>
      <c r="C139" t="s">
        <v>11</v>
      </c>
      <c r="D139" s="3">
        <v>2370.38</v>
      </c>
      <c r="E139">
        <v>30</v>
      </c>
      <c r="F139" s="2"/>
      <c r="G139">
        <v>27</v>
      </c>
      <c r="H139">
        <v>0</v>
      </c>
    </row>
    <row r="140" spans="1:8">
      <c r="A140" t="s">
        <v>149</v>
      </c>
      <c r="B140" s="2">
        <v>46080</v>
      </c>
      <c r="C140" t="s">
        <v>9</v>
      </c>
      <c r="D140" s="3">
        <v>9115.59</v>
      </c>
      <c r="E140">
        <v>30</v>
      </c>
      <c r="F140" s="2">
        <v>46094</v>
      </c>
      <c r="G140">
        <v>14</v>
      </c>
      <c r="H140">
        <v>1</v>
      </c>
    </row>
    <row r="141" spans="1:8">
      <c r="A141" t="s">
        <v>150</v>
      </c>
      <c r="B141" s="2">
        <v>46127</v>
      </c>
      <c r="C141" t="s">
        <v>15</v>
      </c>
      <c r="D141" s="3">
        <v>2897.42</v>
      </c>
      <c r="E141">
        <v>45</v>
      </c>
      <c r="F141" s="2">
        <v>46171</v>
      </c>
      <c r="G141">
        <v>44</v>
      </c>
      <c r="H141">
        <v>1</v>
      </c>
    </row>
    <row r="142" spans="1:8">
      <c r="A142" t="s">
        <v>151</v>
      </c>
      <c r="B142" s="2">
        <v>46191</v>
      </c>
      <c r="C142" t="s">
        <v>11</v>
      </c>
      <c r="D142" s="3">
        <v>4008.07</v>
      </c>
      <c r="E142">
        <v>60</v>
      </c>
      <c r="F142" s="2"/>
      <c r="G142">
        <v>12</v>
      </c>
      <c r="H142">
        <v>0</v>
      </c>
    </row>
    <row r="143" spans="1:8">
      <c r="A143" t="s">
        <v>152</v>
      </c>
      <c r="B143" s="2">
        <v>46158</v>
      </c>
      <c r="C143" t="s">
        <v>11</v>
      </c>
      <c r="D143" s="3">
        <v>12642.95</v>
      </c>
      <c r="E143">
        <v>45</v>
      </c>
      <c r="F143" s="2"/>
      <c r="G143">
        <v>45</v>
      </c>
      <c r="H143">
        <v>0</v>
      </c>
    </row>
    <row r="144" spans="1:8">
      <c r="A144" t="s">
        <v>153</v>
      </c>
      <c r="B144" s="2">
        <v>46060</v>
      </c>
      <c r="C144" t="s">
        <v>9</v>
      </c>
      <c r="D144" s="3">
        <v>14815.12</v>
      </c>
      <c r="E144">
        <v>45</v>
      </c>
      <c r="F144" s="2">
        <v>46116</v>
      </c>
      <c r="G144">
        <v>56</v>
      </c>
      <c r="H144">
        <v>1</v>
      </c>
    </row>
    <row r="145" spans="1:8">
      <c r="A145" t="s">
        <v>154</v>
      </c>
      <c r="B145" s="2">
        <v>46168</v>
      </c>
      <c r="C145" t="s">
        <v>11</v>
      </c>
      <c r="D145" s="3">
        <v>4562.63</v>
      </c>
      <c r="E145">
        <v>60</v>
      </c>
      <c r="F145" s="2"/>
      <c r="G145">
        <v>35</v>
      </c>
      <c r="H145">
        <v>0</v>
      </c>
    </row>
    <row r="146" spans="1:8">
      <c r="A146" t="s">
        <v>155</v>
      </c>
      <c r="B146" s="2">
        <v>46076</v>
      </c>
      <c r="C146" t="s">
        <v>11</v>
      </c>
      <c r="D146" s="3">
        <v>22816.21</v>
      </c>
      <c r="E146">
        <v>30</v>
      </c>
      <c r="F146" s="2">
        <v>46126</v>
      </c>
      <c r="G146">
        <v>50</v>
      </c>
      <c r="H146">
        <v>1</v>
      </c>
    </row>
    <row r="147" spans="1:8">
      <c r="A147" t="s">
        <v>156</v>
      </c>
      <c r="B147" s="2">
        <v>46158</v>
      </c>
      <c r="C147" t="s">
        <v>15</v>
      </c>
      <c r="D147" s="3">
        <v>27046.94</v>
      </c>
      <c r="E147">
        <v>30</v>
      </c>
      <c r="F147" s="2"/>
      <c r="G147">
        <v>45</v>
      </c>
      <c r="H147">
        <v>0</v>
      </c>
    </row>
    <row r="148" spans="1:8">
      <c r="A148" t="s">
        <v>157</v>
      </c>
      <c r="B148" s="2">
        <v>46140</v>
      </c>
      <c r="C148" t="s">
        <v>11</v>
      </c>
      <c r="D148" s="3">
        <v>35743.480000000003</v>
      </c>
      <c r="E148">
        <v>30</v>
      </c>
      <c r="F148" s="2">
        <v>46182</v>
      </c>
      <c r="G148">
        <v>42</v>
      </c>
      <c r="H148">
        <v>1</v>
      </c>
    </row>
    <row r="149" spans="1:8">
      <c r="A149" t="s">
        <v>158</v>
      </c>
      <c r="B149" s="2">
        <v>46094</v>
      </c>
      <c r="C149" t="s">
        <v>11</v>
      </c>
      <c r="D149" s="3">
        <v>14432.46</v>
      </c>
      <c r="E149">
        <v>30</v>
      </c>
      <c r="F149" s="2">
        <v>46140</v>
      </c>
      <c r="G149">
        <v>46</v>
      </c>
      <c r="H149">
        <v>1</v>
      </c>
    </row>
    <row r="150" spans="1:8">
      <c r="A150" t="s">
        <v>159</v>
      </c>
      <c r="B150" s="2">
        <v>46113</v>
      </c>
      <c r="C150" t="s">
        <v>11</v>
      </c>
      <c r="D150" s="3">
        <v>33231.39</v>
      </c>
      <c r="E150">
        <v>45</v>
      </c>
      <c r="F150" s="2">
        <v>46154</v>
      </c>
      <c r="G150">
        <v>41</v>
      </c>
      <c r="H150">
        <v>1</v>
      </c>
    </row>
    <row r="151" spans="1:8">
      <c r="A151" t="s">
        <v>160</v>
      </c>
      <c r="B151" s="2">
        <v>46070</v>
      </c>
      <c r="C151" t="s">
        <v>15</v>
      </c>
      <c r="D151" s="3">
        <v>1295.98</v>
      </c>
      <c r="E151">
        <v>30</v>
      </c>
      <c r="F151" s="2">
        <v>46117</v>
      </c>
      <c r="G151">
        <v>47</v>
      </c>
      <c r="H151">
        <v>1</v>
      </c>
    </row>
    <row r="152" spans="1:8">
      <c r="A152" t="s">
        <v>161</v>
      </c>
      <c r="B152" s="2">
        <v>46192</v>
      </c>
      <c r="C152" t="s">
        <v>9</v>
      </c>
      <c r="D152" s="3">
        <v>6185.2</v>
      </c>
      <c r="E152">
        <v>30</v>
      </c>
      <c r="F152" s="2"/>
      <c r="G152">
        <v>11</v>
      </c>
      <c r="H152">
        <v>0</v>
      </c>
    </row>
    <row r="153" spans="1:8">
      <c r="A153" t="s">
        <v>162</v>
      </c>
      <c r="B153" s="2">
        <v>46087</v>
      </c>
      <c r="C153" t="s">
        <v>9</v>
      </c>
      <c r="D153" s="3">
        <v>3571.77</v>
      </c>
      <c r="E153">
        <v>30</v>
      </c>
      <c r="F153" s="2">
        <v>46126</v>
      </c>
      <c r="G153">
        <v>39</v>
      </c>
      <c r="H153">
        <v>1</v>
      </c>
    </row>
    <row r="154" spans="1:8">
      <c r="A154" t="s">
        <v>163</v>
      </c>
      <c r="B154" s="2">
        <v>46097</v>
      </c>
      <c r="C154" t="s">
        <v>15</v>
      </c>
      <c r="D154" s="3">
        <v>9576.31</v>
      </c>
      <c r="E154">
        <v>30</v>
      </c>
      <c r="F154" s="2">
        <v>46131</v>
      </c>
      <c r="G154">
        <v>34</v>
      </c>
      <c r="H154">
        <v>1</v>
      </c>
    </row>
    <row r="155" spans="1:8">
      <c r="A155" t="s">
        <v>164</v>
      </c>
      <c r="B155" s="2">
        <v>46124</v>
      </c>
      <c r="C155" t="s">
        <v>11</v>
      </c>
      <c r="D155" s="3">
        <v>4800</v>
      </c>
      <c r="E155">
        <v>60</v>
      </c>
      <c r="F155" s="2">
        <v>46175</v>
      </c>
      <c r="G155">
        <v>51</v>
      </c>
      <c r="H155">
        <v>1</v>
      </c>
    </row>
    <row r="156" spans="1:8">
      <c r="A156" t="s">
        <v>165</v>
      </c>
      <c r="B156" s="2">
        <v>46148</v>
      </c>
      <c r="C156" t="s">
        <v>15</v>
      </c>
      <c r="D156" s="3">
        <v>7198.76</v>
      </c>
      <c r="E156">
        <v>30</v>
      </c>
      <c r="F156" s="2">
        <v>46185</v>
      </c>
      <c r="G156">
        <v>37</v>
      </c>
      <c r="H156">
        <v>1</v>
      </c>
    </row>
    <row r="157" spans="1:8">
      <c r="A157" t="s">
        <v>166</v>
      </c>
      <c r="B157" s="2">
        <v>46124</v>
      </c>
      <c r="C157" t="s">
        <v>9</v>
      </c>
      <c r="D157" s="3">
        <v>55826.07</v>
      </c>
      <c r="E157">
        <v>30</v>
      </c>
      <c r="F157" s="2">
        <v>46188</v>
      </c>
      <c r="G157">
        <v>64</v>
      </c>
      <c r="H157">
        <v>1</v>
      </c>
    </row>
    <row r="158" spans="1:8">
      <c r="A158" t="s">
        <v>167</v>
      </c>
      <c r="B158" s="2">
        <v>46124</v>
      </c>
      <c r="C158" t="s">
        <v>15</v>
      </c>
      <c r="D158" s="3">
        <v>7173.16</v>
      </c>
      <c r="E158">
        <v>30</v>
      </c>
      <c r="F158" s="2">
        <v>46162</v>
      </c>
      <c r="G158">
        <v>38</v>
      </c>
      <c r="H158">
        <v>1</v>
      </c>
    </row>
    <row r="159" spans="1:8">
      <c r="A159" t="s">
        <v>168</v>
      </c>
      <c r="B159" s="2">
        <v>46135</v>
      </c>
      <c r="C159" t="s">
        <v>9</v>
      </c>
      <c r="D159" s="3">
        <v>12856.62</v>
      </c>
      <c r="E159">
        <v>30</v>
      </c>
      <c r="F159" s="2">
        <v>46164</v>
      </c>
      <c r="G159">
        <v>29</v>
      </c>
      <c r="H159">
        <v>1</v>
      </c>
    </row>
    <row r="160" spans="1:8">
      <c r="A160" t="s">
        <v>169</v>
      </c>
      <c r="B160" s="2">
        <v>46174</v>
      </c>
      <c r="C160" t="s">
        <v>9</v>
      </c>
      <c r="D160" s="3">
        <v>6738.23</v>
      </c>
      <c r="E160">
        <v>45</v>
      </c>
      <c r="F160" s="2"/>
      <c r="G160">
        <v>29</v>
      </c>
      <c r="H160">
        <v>0</v>
      </c>
    </row>
    <row r="161" spans="1:8">
      <c r="A161" t="s">
        <v>170</v>
      </c>
      <c r="B161" s="2">
        <v>46109</v>
      </c>
      <c r="C161" t="s">
        <v>9</v>
      </c>
      <c r="D161" s="3">
        <v>9168.5499999999993</v>
      </c>
      <c r="E161">
        <v>30</v>
      </c>
      <c r="F161" s="2">
        <v>46166</v>
      </c>
      <c r="G161">
        <v>57</v>
      </c>
      <c r="H161">
        <v>1</v>
      </c>
    </row>
    <row r="162" spans="1:8">
      <c r="A162" t="s">
        <v>171</v>
      </c>
      <c r="B162" s="2">
        <v>46170</v>
      </c>
      <c r="C162" t="s">
        <v>15</v>
      </c>
      <c r="D162" s="3">
        <v>8551.2999999999993</v>
      </c>
      <c r="E162">
        <v>30</v>
      </c>
      <c r="F162" s="2">
        <v>46182</v>
      </c>
      <c r="G162">
        <v>12</v>
      </c>
      <c r="H162">
        <v>1</v>
      </c>
    </row>
    <row r="163" spans="1:8">
      <c r="A163" t="s">
        <v>172</v>
      </c>
      <c r="B163" s="2">
        <v>46164</v>
      </c>
      <c r="C163" t="s">
        <v>9</v>
      </c>
      <c r="D163" s="3">
        <v>13308.33</v>
      </c>
      <c r="E163">
        <v>30</v>
      </c>
      <c r="F163" s="2">
        <v>46199</v>
      </c>
      <c r="G163">
        <v>35</v>
      </c>
      <c r="H163">
        <v>1</v>
      </c>
    </row>
    <row r="164" spans="1:8">
      <c r="A164" t="s">
        <v>173</v>
      </c>
      <c r="B164" s="2">
        <v>46188</v>
      </c>
      <c r="C164" t="s">
        <v>15</v>
      </c>
      <c r="D164" s="3">
        <v>27258.73</v>
      </c>
      <c r="E164">
        <v>45</v>
      </c>
      <c r="F164" s="2"/>
      <c r="G164">
        <v>15</v>
      </c>
      <c r="H164">
        <v>0</v>
      </c>
    </row>
    <row r="165" spans="1:8">
      <c r="A165" t="s">
        <v>174</v>
      </c>
      <c r="B165" s="2">
        <v>46181</v>
      </c>
      <c r="C165" t="s">
        <v>15</v>
      </c>
      <c r="D165" s="3">
        <v>44144.14</v>
      </c>
      <c r="E165">
        <v>45</v>
      </c>
      <c r="F165" s="2"/>
      <c r="G165">
        <v>22</v>
      </c>
      <c r="H165">
        <v>0</v>
      </c>
    </row>
    <row r="166" spans="1:8">
      <c r="A166" t="s">
        <v>175</v>
      </c>
      <c r="B166" s="2">
        <v>46165</v>
      </c>
      <c r="C166" t="s">
        <v>11</v>
      </c>
      <c r="D166" s="3">
        <v>11584.71</v>
      </c>
      <c r="E166">
        <v>45</v>
      </c>
      <c r="F166" s="2"/>
      <c r="G166">
        <v>38</v>
      </c>
      <c r="H166">
        <v>0</v>
      </c>
    </row>
    <row r="167" spans="1:8">
      <c r="A167" t="s">
        <v>176</v>
      </c>
      <c r="B167" s="2">
        <v>46088</v>
      </c>
      <c r="C167" t="s">
        <v>11</v>
      </c>
      <c r="D167" s="3">
        <v>15326.96</v>
      </c>
      <c r="E167">
        <v>45</v>
      </c>
      <c r="F167" s="2">
        <v>46167</v>
      </c>
      <c r="G167">
        <v>79</v>
      </c>
      <c r="H167">
        <v>1</v>
      </c>
    </row>
    <row r="168" spans="1:8">
      <c r="A168" t="s">
        <v>177</v>
      </c>
      <c r="B168" s="2">
        <v>46162</v>
      </c>
      <c r="C168" t="s">
        <v>9</v>
      </c>
      <c r="D168" s="3">
        <v>2689.09</v>
      </c>
      <c r="E168">
        <v>45</v>
      </c>
      <c r="F168" s="2"/>
      <c r="G168">
        <v>41</v>
      </c>
      <c r="H168">
        <v>0</v>
      </c>
    </row>
    <row r="169" spans="1:8">
      <c r="A169" t="s">
        <v>178</v>
      </c>
      <c r="B169" s="2">
        <v>46157</v>
      </c>
      <c r="C169" t="s">
        <v>9</v>
      </c>
      <c r="D169" s="3">
        <v>7784.93</v>
      </c>
      <c r="E169">
        <v>30</v>
      </c>
      <c r="F169" s="2"/>
      <c r="G169">
        <v>46</v>
      </c>
      <c r="H169">
        <v>0</v>
      </c>
    </row>
    <row r="170" spans="1:8">
      <c r="A170" t="s">
        <v>179</v>
      </c>
      <c r="B170" s="2">
        <v>46094</v>
      </c>
      <c r="C170" t="s">
        <v>11</v>
      </c>
      <c r="D170" s="3">
        <v>21766.14</v>
      </c>
      <c r="E170">
        <v>30</v>
      </c>
      <c r="F170" s="2">
        <v>46169</v>
      </c>
      <c r="G170">
        <v>75</v>
      </c>
      <c r="H170">
        <v>1</v>
      </c>
    </row>
    <row r="171" spans="1:8">
      <c r="A171" t="s">
        <v>180</v>
      </c>
      <c r="B171" s="2">
        <v>46148</v>
      </c>
      <c r="C171" t="s">
        <v>9</v>
      </c>
      <c r="D171" s="3">
        <v>20207.12</v>
      </c>
      <c r="E171">
        <v>30</v>
      </c>
      <c r="F171" s="2">
        <v>46195</v>
      </c>
      <c r="G171">
        <v>47</v>
      </c>
      <c r="H171">
        <v>1</v>
      </c>
    </row>
    <row r="172" spans="1:8">
      <c r="A172" t="s">
        <v>181</v>
      </c>
      <c r="B172" s="2">
        <v>46089</v>
      </c>
      <c r="C172" t="s">
        <v>15</v>
      </c>
      <c r="D172" s="3">
        <v>10503.16</v>
      </c>
      <c r="E172">
        <v>30</v>
      </c>
      <c r="F172" s="2">
        <v>46114</v>
      </c>
      <c r="G172">
        <v>25</v>
      </c>
      <c r="H172">
        <v>1</v>
      </c>
    </row>
    <row r="173" spans="1:8">
      <c r="A173" t="s">
        <v>182</v>
      </c>
      <c r="B173" s="2">
        <v>46127</v>
      </c>
      <c r="C173" t="s">
        <v>11</v>
      </c>
      <c r="D173" s="3">
        <v>20624.099999999999</v>
      </c>
      <c r="E173">
        <v>45</v>
      </c>
      <c r="F173" s="2">
        <v>46190</v>
      </c>
      <c r="G173">
        <v>63</v>
      </c>
      <c r="H173">
        <v>1</v>
      </c>
    </row>
    <row r="174" spans="1:8">
      <c r="A174" t="s">
        <v>183</v>
      </c>
      <c r="B174" s="2">
        <v>46165</v>
      </c>
      <c r="C174" t="s">
        <v>15</v>
      </c>
      <c r="D174" s="3">
        <v>13885.33</v>
      </c>
      <c r="E174">
        <v>30</v>
      </c>
      <c r="F174" s="2"/>
      <c r="G174">
        <v>38</v>
      </c>
      <c r="H174">
        <v>0</v>
      </c>
    </row>
    <row r="175" spans="1:8">
      <c r="A175" t="s">
        <v>184</v>
      </c>
      <c r="B175" s="2">
        <v>46080</v>
      </c>
      <c r="C175" t="s">
        <v>9</v>
      </c>
      <c r="D175" s="3">
        <v>28229.64</v>
      </c>
      <c r="E175">
        <v>45</v>
      </c>
      <c r="F175" s="2">
        <v>46139</v>
      </c>
      <c r="G175">
        <v>59</v>
      </c>
      <c r="H175">
        <v>1</v>
      </c>
    </row>
    <row r="176" spans="1:8">
      <c r="A176" t="s">
        <v>185</v>
      </c>
      <c r="B176" s="2">
        <v>46101</v>
      </c>
      <c r="C176" t="s">
        <v>15</v>
      </c>
      <c r="D176" s="3">
        <v>11352.36</v>
      </c>
      <c r="E176">
        <v>60</v>
      </c>
      <c r="F176" s="2">
        <v>46154</v>
      </c>
      <c r="G176">
        <v>53</v>
      </c>
      <c r="H176">
        <v>1</v>
      </c>
    </row>
    <row r="177" spans="1:8">
      <c r="A177" t="s">
        <v>186</v>
      </c>
      <c r="B177" s="2">
        <v>46165</v>
      </c>
      <c r="C177" t="s">
        <v>15</v>
      </c>
      <c r="D177" s="3">
        <v>5955.81</v>
      </c>
      <c r="E177">
        <v>30</v>
      </c>
      <c r="F177" s="2"/>
      <c r="G177">
        <v>38</v>
      </c>
      <c r="H177">
        <v>0</v>
      </c>
    </row>
    <row r="178" spans="1:8">
      <c r="A178" t="s">
        <v>187</v>
      </c>
      <c r="B178" s="2">
        <v>46117</v>
      </c>
      <c r="C178" t="s">
        <v>11</v>
      </c>
      <c r="D178" s="3">
        <v>11892.49</v>
      </c>
      <c r="E178">
        <v>60</v>
      </c>
      <c r="F178" s="2">
        <v>46192</v>
      </c>
      <c r="G178">
        <v>75</v>
      </c>
      <c r="H178">
        <v>1</v>
      </c>
    </row>
    <row r="179" spans="1:8">
      <c r="A179" t="s">
        <v>188</v>
      </c>
      <c r="B179" s="2">
        <v>46188</v>
      </c>
      <c r="C179" t="s">
        <v>9</v>
      </c>
      <c r="D179" s="3">
        <v>453.61</v>
      </c>
      <c r="E179">
        <v>45</v>
      </c>
      <c r="F179" s="2"/>
      <c r="G179">
        <v>15</v>
      </c>
      <c r="H179">
        <v>0</v>
      </c>
    </row>
    <row r="180" spans="1:8">
      <c r="A180" t="s">
        <v>189</v>
      </c>
      <c r="B180" s="2">
        <v>46055</v>
      </c>
      <c r="C180" t="s">
        <v>9</v>
      </c>
      <c r="D180" s="3">
        <v>12465.34</v>
      </c>
      <c r="E180">
        <v>60</v>
      </c>
      <c r="F180" s="2">
        <v>46144</v>
      </c>
      <c r="G180">
        <v>89</v>
      </c>
      <c r="H180">
        <v>1</v>
      </c>
    </row>
    <row r="181" spans="1:8">
      <c r="A181" t="s">
        <v>190</v>
      </c>
      <c r="B181" s="2">
        <v>46155</v>
      </c>
      <c r="C181" t="s">
        <v>9</v>
      </c>
      <c r="D181" s="3">
        <v>221.28</v>
      </c>
      <c r="E181">
        <v>30</v>
      </c>
      <c r="F181" s="2">
        <v>46199</v>
      </c>
      <c r="G181">
        <v>44</v>
      </c>
      <c r="H181">
        <v>1</v>
      </c>
    </row>
    <row r="182" spans="1:8">
      <c r="A182" t="s">
        <v>191</v>
      </c>
      <c r="B182" s="2">
        <v>46167</v>
      </c>
      <c r="C182" t="s">
        <v>9</v>
      </c>
      <c r="D182" s="3">
        <v>1516.8</v>
      </c>
      <c r="E182">
        <v>30</v>
      </c>
      <c r="F182" s="2"/>
      <c r="G182">
        <v>36</v>
      </c>
      <c r="H182">
        <v>0</v>
      </c>
    </row>
    <row r="183" spans="1:8">
      <c r="A183" t="s">
        <v>192</v>
      </c>
      <c r="B183" s="2">
        <v>46182</v>
      </c>
      <c r="C183" t="s">
        <v>9</v>
      </c>
      <c r="D183" s="3">
        <v>13354.25</v>
      </c>
      <c r="E183">
        <v>30</v>
      </c>
      <c r="F183" s="2"/>
      <c r="G183">
        <v>21</v>
      </c>
      <c r="H183">
        <v>0</v>
      </c>
    </row>
    <row r="184" spans="1:8">
      <c r="A184" t="s">
        <v>193</v>
      </c>
      <c r="B184" s="2">
        <v>46075</v>
      </c>
      <c r="C184" t="s">
        <v>11</v>
      </c>
      <c r="D184" s="3">
        <v>13702.74</v>
      </c>
      <c r="E184">
        <v>30</v>
      </c>
      <c r="F184" s="2">
        <v>46101</v>
      </c>
      <c r="G184">
        <v>26</v>
      </c>
      <c r="H184">
        <v>1</v>
      </c>
    </row>
    <row r="185" spans="1:8">
      <c r="A185" t="s">
        <v>194</v>
      </c>
      <c r="B185" s="2">
        <v>46191</v>
      </c>
      <c r="C185" t="s">
        <v>11</v>
      </c>
      <c r="D185" s="3">
        <v>2658.17</v>
      </c>
      <c r="E185">
        <v>30</v>
      </c>
      <c r="F185" s="2"/>
      <c r="G185">
        <v>12</v>
      </c>
      <c r="H185">
        <v>0</v>
      </c>
    </row>
    <row r="186" spans="1:8">
      <c r="A186" t="s">
        <v>195</v>
      </c>
      <c r="B186" s="2">
        <v>46108</v>
      </c>
      <c r="C186" t="s">
        <v>9</v>
      </c>
      <c r="D186" s="3">
        <v>4170.2</v>
      </c>
      <c r="E186">
        <v>60</v>
      </c>
      <c r="F186" s="2"/>
      <c r="G186">
        <v>95</v>
      </c>
      <c r="H186">
        <v>0</v>
      </c>
    </row>
    <row r="187" spans="1:8">
      <c r="A187" t="s">
        <v>196</v>
      </c>
      <c r="B187" s="2">
        <v>46103</v>
      </c>
      <c r="C187" t="s">
        <v>9</v>
      </c>
      <c r="D187" s="3">
        <v>33468.58</v>
      </c>
      <c r="E187">
        <v>45</v>
      </c>
      <c r="F187" s="2">
        <v>46174</v>
      </c>
      <c r="G187">
        <v>71</v>
      </c>
      <c r="H187">
        <v>1</v>
      </c>
    </row>
    <row r="188" spans="1:8">
      <c r="A188" t="s">
        <v>197</v>
      </c>
      <c r="B188" s="2">
        <v>46103</v>
      </c>
      <c r="C188" t="s">
        <v>11</v>
      </c>
      <c r="D188" s="3">
        <v>5238.5</v>
      </c>
      <c r="E188">
        <v>30</v>
      </c>
      <c r="F188" s="2">
        <v>46138</v>
      </c>
      <c r="G188">
        <v>35</v>
      </c>
      <c r="H188">
        <v>1</v>
      </c>
    </row>
    <row r="189" spans="1:8">
      <c r="A189" t="s">
        <v>198</v>
      </c>
      <c r="B189" s="2">
        <v>46143</v>
      </c>
      <c r="C189" t="s">
        <v>15</v>
      </c>
      <c r="D189" s="3">
        <v>80076.820000000007</v>
      </c>
      <c r="E189">
        <v>30</v>
      </c>
      <c r="F189" s="2">
        <v>46178</v>
      </c>
      <c r="G189">
        <v>35</v>
      </c>
      <c r="H189">
        <v>1</v>
      </c>
    </row>
    <row r="190" spans="1:8">
      <c r="A190" t="s">
        <v>199</v>
      </c>
      <c r="B190" s="2">
        <v>46146</v>
      </c>
      <c r="C190" t="s">
        <v>9</v>
      </c>
      <c r="D190" s="3">
        <v>8483.7000000000007</v>
      </c>
      <c r="E190">
        <v>30</v>
      </c>
      <c r="F190" s="2">
        <v>46189</v>
      </c>
      <c r="G190">
        <v>43</v>
      </c>
      <c r="H190">
        <v>1</v>
      </c>
    </row>
    <row r="191" spans="1:8">
      <c r="A191" t="s">
        <v>200</v>
      </c>
      <c r="B191" s="2">
        <v>46120</v>
      </c>
      <c r="C191" t="s">
        <v>15</v>
      </c>
      <c r="D191" s="3">
        <v>12782.82</v>
      </c>
      <c r="E191">
        <v>30</v>
      </c>
      <c r="F191" s="2">
        <v>46152</v>
      </c>
      <c r="G191">
        <v>32</v>
      </c>
      <c r="H191">
        <v>1</v>
      </c>
    </row>
    <row r="192" spans="1:8">
      <c r="A192" t="s">
        <v>201</v>
      </c>
      <c r="B192" s="2">
        <v>46063</v>
      </c>
      <c r="C192" t="s">
        <v>9</v>
      </c>
      <c r="D192" s="3">
        <v>42817.23</v>
      </c>
      <c r="E192">
        <v>60</v>
      </c>
      <c r="F192" s="2">
        <v>46140</v>
      </c>
      <c r="G192">
        <v>77</v>
      </c>
      <c r="H192">
        <v>1</v>
      </c>
    </row>
    <row r="193" spans="1:8">
      <c r="A193" t="s">
        <v>202</v>
      </c>
      <c r="B193" s="2">
        <v>46192</v>
      </c>
      <c r="C193" t="s">
        <v>15</v>
      </c>
      <c r="D193" s="3">
        <v>9689.99</v>
      </c>
      <c r="E193">
        <v>30</v>
      </c>
      <c r="F193" s="2"/>
      <c r="G193">
        <v>11</v>
      </c>
      <c r="H193">
        <v>0</v>
      </c>
    </row>
    <row r="194" spans="1:8">
      <c r="A194" t="s">
        <v>203</v>
      </c>
      <c r="B194" s="2">
        <v>46085</v>
      </c>
      <c r="C194" t="s">
        <v>15</v>
      </c>
      <c r="D194" s="3">
        <v>3119.65</v>
      </c>
      <c r="E194">
        <v>30</v>
      </c>
      <c r="F194" s="2">
        <v>46097</v>
      </c>
      <c r="G194">
        <v>12</v>
      </c>
      <c r="H194">
        <v>1</v>
      </c>
    </row>
    <row r="195" spans="1:8">
      <c r="A195" t="s">
        <v>204</v>
      </c>
      <c r="B195" s="2">
        <v>46067</v>
      </c>
      <c r="C195" t="s">
        <v>9</v>
      </c>
      <c r="D195" s="3">
        <v>7616.67</v>
      </c>
      <c r="E195">
        <v>45</v>
      </c>
      <c r="F195" s="2">
        <v>46140</v>
      </c>
      <c r="G195">
        <v>73</v>
      </c>
      <c r="H195">
        <v>1</v>
      </c>
    </row>
    <row r="196" spans="1:8">
      <c r="A196" t="s">
        <v>205</v>
      </c>
      <c r="B196" s="2">
        <v>46137</v>
      </c>
      <c r="C196" t="s">
        <v>15</v>
      </c>
      <c r="D196" s="3">
        <v>8202.6299999999992</v>
      </c>
      <c r="E196">
        <v>30</v>
      </c>
      <c r="F196" s="2">
        <v>46167</v>
      </c>
      <c r="G196">
        <v>30</v>
      </c>
      <c r="H196">
        <v>1</v>
      </c>
    </row>
    <row r="197" spans="1:8">
      <c r="A197" t="s">
        <v>206</v>
      </c>
      <c r="B197" s="2">
        <v>46111</v>
      </c>
      <c r="C197" t="s">
        <v>15</v>
      </c>
      <c r="D197" s="3">
        <v>2171.3000000000002</v>
      </c>
      <c r="E197">
        <v>30</v>
      </c>
      <c r="F197" s="2">
        <v>46148</v>
      </c>
      <c r="G197">
        <v>37</v>
      </c>
      <c r="H197">
        <v>1</v>
      </c>
    </row>
    <row r="198" spans="1:8">
      <c r="A198" t="s">
        <v>207</v>
      </c>
      <c r="B198" s="2">
        <v>46140</v>
      </c>
      <c r="C198" t="s">
        <v>11</v>
      </c>
      <c r="D198" s="3">
        <v>6581.31</v>
      </c>
      <c r="E198">
        <v>45</v>
      </c>
      <c r="F198" s="2">
        <v>46181</v>
      </c>
      <c r="G198">
        <v>41</v>
      </c>
      <c r="H198">
        <v>1</v>
      </c>
    </row>
    <row r="199" spans="1:8">
      <c r="A199" t="s">
        <v>208</v>
      </c>
      <c r="B199" s="2">
        <v>46176</v>
      </c>
      <c r="C199" t="s">
        <v>9</v>
      </c>
      <c r="D199" s="3">
        <v>4046.59</v>
      </c>
      <c r="E199">
        <v>45</v>
      </c>
      <c r="F199" s="2"/>
      <c r="G199">
        <v>27</v>
      </c>
      <c r="H199">
        <v>0</v>
      </c>
    </row>
    <row r="200" spans="1:8">
      <c r="A200" t="s">
        <v>209</v>
      </c>
      <c r="B200" s="2">
        <v>46067</v>
      </c>
      <c r="C200" t="s">
        <v>15</v>
      </c>
      <c r="D200" s="3">
        <v>21422.12</v>
      </c>
      <c r="E200">
        <v>60</v>
      </c>
      <c r="F200" s="2">
        <v>46149</v>
      </c>
      <c r="G200">
        <v>82</v>
      </c>
      <c r="H200">
        <v>1</v>
      </c>
    </row>
    <row r="201" spans="1:8">
      <c r="A201" t="s">
        <v>210</v>
      </c>
      <c r="B201" s="2">
        <v>46093</v>
      </c>
      <c r="C201" t="s">
        <v>11</v>
      </c>
      <c r="D201" s="3">
        <v>8799.35</v>
      </c>
      <c r="E201">
        <v>45</v>
      </c>
      <c r="F201" s="2">
        <v>46160</v>
      </c>
      <c r="G201">
        <v>67</v>
      </c>
      <c r="H201">
        <v>1</v>
      </c>
    </row>
    <row r="202" spans="1:8">
      <c r="A202" t="s">
        <v>211</v>
      </c>
      <c r="B202" s="2">
        <v>46126</v>
      </c>
      <c r="C202" t="s">
        <v>9</v>
      </c>
      <c r="D202" s="3">
        <v>6406.23</v>
      </c>
      <c r="E202">
        <v>30</v>
      </c>
      <c r="F202" s="2">
        <v>46155</v>
      </c>
      <c r="G202">
        <v>29</v>
      </c>
      <c r="H202">
        <v>1</v>
      </c>
    </row>
    <row r="203" spans="1:8">
      <c r="A203" t="s">
        <v>212</v>
      </c>
      <c r="B203" s="2">
        <v>46164</v>
      </c>
      <c r="C203" t="s">
        <v>9</v>
      </c>
      <c r="D203" s="3">
        <v>7643.72</v>
      </c>
      <c r="E203">
        <v>45</v>
      </c>
      <c r="F203" s="2"/>
      <c r="G203">
        <v>39</v>
      </c>
      <c r="H203">
        <v>0</v>
      </c>
    </row>
    <row r="204" spans="1:8">
      <c r="A204" t="s">
        <v>213</v>
      </c>
      <c r="B204" s="2">
        <v>46138</v>
      </c>
      <c r="C204" t="s">
        <v>11</v>
      </c>
      <c r="D204" s="3">
        <v>10624.77</v>
      </c>
      <c r="E204">
        <v>60</v>
      </c>
      <c r="F204" s="2"/>
      <c r="G204">
        <v>65</v>
      </c>
      <c r="H204">
        <v>0</v>
      </c>
    </row>
    <row r="205" spans="1:8">
      <c r="A205" t="s">
        <v>214</v>
      </c>
      <c r="B205" s="2">
        <v>46107</v>
      </c>
      <c r="C205" t="s">
        <v>15</v>
      </c>
      <c r="D205" s="3">
        <v>15750.63</v>
      </c>
      <c r="E205">
        <v>45</v>
      </c>
      <c r="F205" s="2">
        <v>46139</v>
      </c>
      <c r="G205">
        <v>32</v>
      </c>
      <c r="H205">
        <v>1</v>
      </c>
    </row>
    <row r="206" spans="1:8">
      <c r="A206" t="s">
        <v>215</v>
      </c>
      <c r="B206" s="2">
        <v>46139</v>
      </c>
      <c r="C206" t="s">
        <v>15</v>
      </c>
      <c r="D206" s="3">
        <v>3127.88</v>
      </c>
      <c r="E206">
        <v>60</v>
      </c>
      <c r="F206" s="2">
        <v>46202</v>
      </c>
      <c r="G206">
        <v>63</v>
      </c>
      <c r="H206">
        <v>1</v>
      </c>
    </row>
    <row r="207" spans="1:8">
      <c r="A207" t="s">
        <v>216</v>
      </c>
      <c r="B207" s="2">
        <v>46191</v>
      </c>
      <c r="C207" t="s">
        <v>15</v>
      </c>
      <c r="D207" s="3">
        <v>2999.6</v>
      </c>
      <c r="E207">
        <v>45</v>
      </c>
      <c r="F207" s="2"/>
      <c r="G207">
        <v>12</v>
      </c>
      <c r="H207">
        <v>0</v>
      </c>
    </row>
    <row r="208" spans="1:8">
      <c r="A208" t="s">
        <v>217</v>
      </c>
      <c r="B208" s="2">
        <v>46121</v>
      </c>
      <c r="C208" t="s">
        <v>15</v>
      </c>
      <c r="D208" s="3">
        <v>25655.18</v>
      </c>
      <c r="E208">
        <v>60</v>
      </c>
      <c r="F208" s="2">
        <v>46195</v>
      </c>
      <c r="G208">
        <v>74</v>
      </c>
      <c r="H208">
        <v>1</v>
      </c>
    </row>
    <row r="209" spans="1:8">
      <c r="A209" t="s">
        <v>218</v>
      </c>
      <c r="B209" s="2">
        <v>46177</v>
      </c>
      <c r="C209" t="s">
        <v>9</v>
      </c>
      <c r="D209" s="3">
        <v>5627.86</v>
      </c>
      <c r="E209">
        <v>30</v>
      </c>
      <c r="F209" s="2"/>
      <c r="G209">
        <v>26</v>
      </c>
      <c r="H209">
        <v>0</v>
      </c>
    </row>
    <row r="210" spans="1:8">
      <c r="A210" t="s">
        <v>219</v>
      </c>
      <c r="B210" s="2">
        <v>46163</v>
      </c>
      <c r="C210" t="s">
        <v>15</v>
      </c>
      <c r="D210" s="3">
        <v>2061.0700000000002</v>
      </c>
      <c r="E210">
        <v>45</v>
      </c>
      <c r="F210" s="2"/>
      <c r="G210">
        <v>40</v>
      </c>
      <c r="H210">
        <v>0</v>
      </c>
    </row>
    <row r="211" spans="1:8">
      <c r="A211" t="s">
        <v>220</v>
      </c>
      <c r="B211" s="2">
        <v>46096</v>
      </c>
      <c r="C211" t="s">
        <v>11</v>
      </c>
      <c r="D211" s="3">
        <v>13248.43</v>
      </c>
      <c r="E211">
        <v>30</v>
      </c>
      <c r="F211" s="2">
        <v>46155</v>
      </c>
      <c r="G211">
        <v>59</v>
      </c>
      <c r="H211">
        <v>1</v>
      </c>
    </row>
    <row r="212" spans="1:8">
      <c r="A212" t="s">
        <v>221</v>
      </c>
      <c r="B212" s="2">
        <v>46088</v>
      </c>
      <c r="C212" t="s">
        <v>9</v>
      </c>
      <c r="D212" s="3">
        <v>13510.08</v>
      </c>
      <c r="E212">
        <v>45</v>
      </c>
      <c r="F212" s="2">
        <v>46166</v>
      </c>
      <c r="G212">
        <v>78</v>
      </c>
      <c r="H212">
        <v>1</v>
      </c>
    </row>
    <row r="213" spans="1:8">
      <c r="A213" t="s">
        <v>222</v>
      </c>
      <c r="B213" s="2">
        <v>46161</v>
      </c>
      <c r="C213" t="s">
        <v>11</v>
      </c>
      <c r="D213" s="3">
        <v>1839.24</v>
      </c>
      <c r="E213">
        <v>45</v>
      </c>
      <c r="F213" s="2">
        <v>46180</v>
      </c>
      <c r="G213">
        <v>19</v>
      </c>
      <c r="H213">
        <v>1</v>
      </c>
    </row>
    <row r="214" spans="1:8">
      <c r="A214" t="s">
        <v>223</v>
      </c>
      <c r="B214" s="2">
        <v>46083</v>
      </c>
      <c r="C214" t="s">
        <v>15</v>
      </c>
      <c r="D214" s="3">
        <v>10692.56</v>
      </c>
      <c r="E214">
        <v>60</v>
      </c>
      <c r="F214" s="2">
        <v>46144</v>
      </c>
      <c r="G214">
        <v>61</v>
      </c>
      <c r="H214">
        <v>1</v>
      </c>
    </row>
    <row r="215" spans="1:8">
      <c r="A215" t="s">
        <v>224</v>
      </c>
      <c r="B215" s="2">
        <v>46101</v>
      </c>
      <c r="C215" t="s">
        <v>9</v>
      </c>
      <c r="D215" s="3">
        <v>17736.939999999999</v>
      </c>
      <c r="E215">
        <v>60</v>
      </c>
      <c r="F215" s="2">
        <v>46178</v>
      </c>
      <c r="G215">
        <v>77</v>
      </c>
      <c r="H215">
        <v>1</v>
      </c>
    </row>
    <row r="216" spans="1:8">
      <c r="A216" t="s">
        <v>225</v>
      </c>
      <c r="B216" s="2">
        <v>46086</v>
      </c>
      <c r="C216" t="s">
        <v>9</v>
      </c>
      <c r="D216" s="3">
        <v>12359.84</v>
      </c>
      <c r="E216">
        <v>30</v>
      </c>
      <c r="F216" s="2">
        <v>46113</v>
      </c>
      <c r="G216">
        <v>27</v>
      </c>
      <c r="H216">
        <v>1</v>
      </c>
    </row>
    <row r="217" spans="1:8">
      <c r="A217" t="s">
        <v>226</v>
      </c>
      <c r="B217" s="2">
        <v>46138</v>
      </c>
      <c r="C217" t="s">
        <v>9</v>
      </c>
      <c r="D217" s="3">
        <v>15991.35</v>
      </c>
      <c r="E217">
        <v>45</v>
      </c>
      <c r="F217" s="2">
        <v>46203</v>
      </c>
      <c r="G217">
        <v>65</v>
      </c>
      <c r="H217">
        <v>1</v>
      </c>
    </row>
    <row r="218" spans="1:8">
      <c r="A218" t="s">
        <v>227</v>
      </c>
      <c r="B218" s="2">
        <v>46095</v>
      </c>
      <c r="C218" t="s">
        <v>15</v>
      </c>
      <c r="D218" s="3">
        <v>2087.14</v>
      </c>
      <c r="E218">
        <v>45</v>
      </c>
      <c r="F218" s="2">
        <v>46158</v>
      </c>
      <c r="G218">
        <v>63</v>
      </c>
      <c r="H218">
        <v>1</v>
      </c>
    </row>
    <row r="219" spans="1:8">
      <c r="A219" t="s">
        <v>228</v>
      </c>
      <c r="B219" s="2">
        <v>46146</v>
      </c>
      <c r="C219" t="s">
        <v>15</v>
      </c>
      <c r="D219" s="3">
        <v>11835.53</v>
      </c>
      <c r="E219">
        <v>30</v>
      </c>
      <c r="F219" s="2">
        <v>46168</v>
      </c>
      <c r="G219">
        <v>22</v>
      </c>
      <c r="H219">
        <v>1</v>
      </c>
    </row>
    <row r="220" spans="1:8">
      <c r="A220" t="s">
        <v>229</v>
      </c>
      <c r="B220" s="2">
        <v>46184</v>
      </c>
      <c r="C220" t="s">
        <v>9</v>
      </c>
      <c r="D220" s="3">
        <v>6280.48</v>
      </c>
      <c r="E220">
        <v>30</v>
      </c>
      <c r="F220" s="2"/>
      <c r="G220">
        <v>19</v>
      </c>
      <c r="H220">
        <v>0</v>
      </c>
    </row>
    <row r="221" spans="1:8">
      <c r="A221" t="s">
        <v>230</v>
      </c>
      <c r="B221" s="2">
        <v>46170</v>
      </c>
      <c r="C221" t="s">
        <v>11</v>
      </c>
      <c r="D221" s="3">
        <v>5245</v>
      </c>
      <c r="E221">
        <v>30</v>
      </c>
      <c r="F221" s="2">
        <v>46199</v>
      </c>
      <c r="G221">
        <v>29</v>
      </c>
      <c r="H221">
        <v>1</v>
      </c>
    </row>
    <row r="222" spans="1:8">
      <c r="A222" t="s">
        <v>231</v>
      </c>
      <c r="B222" s="2">
        <v>46186</v>
      </c>
      <c r="C222" t="s">
        <v>11</v>
      </c>
      <c r="D222" s="3">
        <v>20300.02</v>
      </c>
      <c r="E222">
        <v>45</v>
      </c>
      <c r="F222" s="2"/>
      <c r="G222">
        <v>17</v>
      </c>
      <c r="H222">
        <v>0</v>
      </c>
    </row>
    <row r="223" spans="1:8">
      <c r="A223" t="s">
        <v>232</v>
      </c>
      <c r="B223" s="2">
        <v>46057</v>
      </c>
      <c r="C223" t="s">
        <v>11</v>
      </c>
      <c r="D223" s="3">
        <v>37312.959999999999</v>
      </c>
      <c r="E223">
        <v>30</v>
      </c>
      <c r="F223" s="2">
        <v>46119</v>
      </c>
      <c r="G223">
        <v>62</v>
      </c>
      <c r="H223">
        <v>1</v>
      </c>
    </row>
    <row r="224" spans="1:8">
      <c r="A224" t="s">
        <v>233</v>
      </c>
      <c r="B224" s="2">
        <v>46117</v>
      </c>
      <c r="C224" t="s">
        <v>9</v>
      </c>
      <c r="D224" s="3">
        <v>51133.31</v>
      </c>
      <c r="E224">
        <v>60</v>
      </c>
      <c r="F224" s="2">
        <v>46193</v>
      </c>
      <c r="G224">
        <v>76</v>
      </c>
      <c r="H224">
        <v>1</v>
      </c>
    </row>
    <row r="225" spans="1:8">
      <c r="A225" t="s">
        <v>234</v>
      </c>
      <c r="B225" s="2">
        <v>46084</v>
      </c>
      <c r="C225" t="s">
        <v>9</v>
      </c>
      <c r="D225" s="3">
        <v>31654.3</v>
      </c>
      <c r="E225">
        <v>30</v>
      </c>
      <c r="F225" s="2">
        <v>46140</v>
      </c>
      <c r="G225">
        <v>56</v>
      </c>
      <c r="H225">
        <v>1</v>
      </c>
    </row>
    <row r="226" spans="1:8">
      <c r="A226" t="s">
        <v>235</v>
      </c>
      <c r="B226" s="2">
        <v>46182</v>
      </c>
      <c r="C226" t="s">
        <v>15</v>
      </c>
      <c r="D226" s="3">
        <v>7616.61</v>
      </c>
      <c r="E226">
        <v>60</v>
      </c>
      <c r="F226" s="2"/>
      <c r="G226">
        <v>21</v>
      </c>
      <c r="H226">
        <v>0</v>
      </c>
    </row>
    <row r="227" spans="1:8">
      <c r="A227" t="s">
        <v>236</v>
      </c>
      <c r="B227" s="2">
        <v>46153</v>
      </c>
      <c r="C227" t="s">
        <v>9</v>
      </c>
      <c r="D227" s="3">
        <v>12094.93</v>
      </c>
      <c r="E227">
        <v>30</v>
      </c>
      <c r="F227" s="2"/>
      <c r="G227">
        <v>50</v>
      </c>
      <c r="H227">
        <v>0</v>
      </c>
    </row>
    <row r="228" spans="1:8">
      <c r="A228" t="s">
        <v>237</v>
      </c>
      <c r="B228" s="2">
        <v>46098</v>
      </c>
      <c r="C228" t="s">
        <v>15</v>
      </c>
      <c r="D228" s="3">
        <v>18299.78</v>
      </c>
      <c r="E228">
        <v>45</v>
      </c>
      <c r="F228" s="2">
        <v>46156</v>
      </c>
      <c r="G228">
        <v>58</v>
      </c>
      <c r="H228">
        <v>1</v>
      </c>
    </row>
    <row r="229" spans="1:8">
      <c r="A229" t="s">
        <v>238</v>
      </c>
      <c r="B229" s="2">
        <v>46132</v>
      </c>
      <c r="C229" t="s">
        <v>11</v>
      </c>
      <c r="D229" s="3">
        <v>9595.02</v>
      </c>
      <c r="E229">
        <v>30</v>
      </c>
      <c r="F229" s="2">
        <v>46171</v>
      </c>
      <c r="G229">
        <v>39</v>
      </c>
      <c r="H229">
        <v>1</v>
      </c>
    </row>
    <row r="230" spans="1:8">
      <c r="A230" t="s">
        <v>239</v>
      </c>
      <c r="B230" s="2">
        <v>46138</v>
      </c>
      <c r="C230" t="s">
        <v>11</v>
      </c>
      <c r="D230" s="3">
        <v>9687.44</v>
      </c>
      <c r="E230">
        <v>45</v>
      </c>
      <c r="F230" s="2">
        <v>46201</v>
      </c>
      <c r="G230">
        <v>63</v>
      </c>
      <c r="H230">
        <v>1</v>
      </c>
    </row>
    <row r="231" spans="1:8">
      <c r="A231" t="s">
        <v>240</v>
      </c>
      <c r="B231" s="2">
        <v>46123</v>
      </c>
      <c r="C231" t="s">
        <v>15</v>
      </c>
      <c r="D231" s="3">
        <v>19371.82</v>
      </c>
      <c r="E231">
        <v>45</v>
      </c>
      <c r="F231" s="2">
        <v>46157</v>
      </c>
      <c r="G231">
        <v>34</v>
      </c>
      <c r="H231">
        <v>1</v>
      </c>
    </row>
    <row r="232" spans="1:8">
      <c r="A232" t="s">
        <v>241</v>
      </c>
      <c r="B232" s="2">
        <v>46120</v>
      </c>
      <c r="C232" t="s">
        <v>15</v>
      </c>
      <c r="D232" s="3">
        <v>8010.74</v>
      </c>
      <c r="E232">
        <v>60</v>
      </c>
      <c r="F232" s="2">
        <v>46199</v>
      </c>
      <c r="G232">
        <v>79</v>
      </c>
      <c r="H232">
        <v>1</v>
      </c>
    </row>
    <row r="233" spans="1:8">
      <c r="A233" t="s">
        <v>242</v>
      </c>
      <c r="B233" s="2">
        <v>46061</v>
      </c>
      <c r="C233" t="s">
        <v>11</v>
      </c>
      <c r="D233" s="3">
        <v>4099.1499999999996</v>
      </c>
      <c r="E233">
        <v>45</v>
      </c>
      <c r="F233" s="2">
        <v>46111</v>
      </c>
      <c r="G233">
        <v>50</v>
      </c>
      <c r="H233">
        <v>1</v>
      </c>
    </row>
    <row r="234" spans="1:8">
      <c r="A234" t="s">
        <v>243</v>
      </c>
      <c r="B234" s="2">
        <v>46117</v>
      </c>
      <c r="C234" t="s">
        <v>9</v>
      </c>
      <c r="D234" s="3">
        <v>5615.85</v>
      </c>
      <c r="E234">
        <v>30</v>
      </c>
      <c r="F234" s="2">
        <v>46161</v>
      </c>
      <c r="G234">
        <v>44</v>
      </c>
      <c r="H234">
        <v>1</v>
      </c>
    </row>
    <row r="235" spans="1:8">
      <c r="A235" t="s">
        <v>244</v>
      </c>
      <c r="B235" s="2">
        <v>46102</v>
      </c>
      <c r="C235" t="s">
        <v>11</v>
      </c>
      <c r="D235" s="3">
        <v>16022.22</v>
      </c>
      <c r="E235">
        <v>30</v>
      </c>
      <c r="F235" s="2">
        <v>46138</v>
      </c>
      <c r="G235">
        <v>36</v>
      </c>
      <c r="H235">
        <v>1</v>
      </c>
    </row>
    <row r="236" spans="1:8">
      <c r="A236" t="s">
        <v>245</v>
      </c>
      <c r="B236" s="2">
        <v>46168</v>
      </c>
      <c r="C236" t="s">
        <v>9</v>
      </c>
      <c r="D236" s="3">
        <v>8525.48</v>
      </c>
      <c r="E236">
        <v>30</v>
      </c>
      <c r="F236" s="2"/>
      <c r="G236">
        <v>35</v>
      </c>
      <c r="H236">
        <v>0</v>
      </c>
    </row>
    <row r="237" spans="1:8">
      <c r="A237" t="s">
        <v>246</v>
      </c>
      <c r="B237" s="2">
        <v>46175</v>
      </c>
      <c r="C237" t="s">
        <v>9</v>
      </c>
      <c r="D237" s="3">
        <v>11944.56</v>
      </c>
      <c r="E237">
        <v>30</v>
      </c>
      <c r="F237" s="2"/>
      <c r="G237">
        <v>28</v>
      </c>
      <c r="H237">
        <v>0</v>
      </c>
    </row>
    <row r="238" spans="1:8">
      <c r="A238" t="s">
        <v>247</v>
      </c>
      <c r="B238" s="2">
        <v>46159</v>
      </c>
      <c r="C238" t="s">
        <v>11</v>
      </c>
      <c r="D238" s="3">
        <v>16612.330000000002</v>
      </c>
      <c r="E238">
        <v>45</v>
      </c>
      <c r="F238" s="2"/>
      <c r="G238">
        <v>44</v>
      </c>
      <c r="H238">
        <v>0</v>
      </c>
    </row>
    <row r="239" spans="1:8">
      <c r="A239" t="s">
        <v>248</v>
      </c>
      <c r="B239" s="2">
        <v>46058</v>
      </c>
      <c r="C239" t="s">
        <v>9</v>
      </c>
      <c r="D239" s="3">
        <v>5842.89</v>
      </c>
      <c r="E239">
        <v>45</v>
      </c>
      <c r="F239" s="2">
        <v>46128</v>
      </c>
      <c r="G239">
        <v>70</v>
      </c>
      <c r="H239">
        <v>1</v>
      </c>
    </row>
    <row r="240" spans="1:8">
      <c r="A240" t="s">
        <v>249</v>
      </c>
      <c r="B240" s="2">
        <v>46171</v>
      </c>
      <c r="C240" t="s">
        <v>15</v>
      </c>
      <c r="D240" s="3">
        <v>18107.28</v>
      </c>
      <c r="E240">
        <v>45</v>
      </c>
      <c r="F240" s="2"/>
      <c r="G240">
        <v>32</v>
      </c>
      <c r="H240">
        <v>0</v>
      </c>
    </row>
    <row r="241" spans="1:8">
      <c r="A241" t="s">
        <v>250</v>
      </c>
      <c r="B241" s="2">
        <v>46109</v>
      </c>
      <c r="C241" t="s">
        <v>15</v>
      </c>
      <c r="D241" s="3">
        <v>12415.04</v>
      </c>
      <c r="E241">
        <v>60</v>
      </c>
      <c r="F241" s="2">
        <v>46180</v>
      </c>
      <c r="G241">
        <v>71</v>
      </c>
      <c r="H241">
        <v>1</v>
      </c>
    </row>
    <row r="242" spans="1:8">
      <c r="A242" t="s">
        <v>251</v>
      </c>
      <c r="B242" s="2">
        <v>46112</v>
      </c>
      <c r="C242" t="s">
        <v>9</v>
      </c>
      <c r="D242" s="3">
        <v>2472.56</v>
      </c>
      <c r="E242">
        <v>45</v>
      </c>
      <c r="F242" s="2">
        <v>46168</v>
      </c>
      <c r="G242">
        <v>56</v>
      </c>
      <c r="H242">
        <v>1</v>
      </c>
    </row>
    <row r="243" spans="1:8">
      <c r="A243" t="s">
        <v>252</v>
      </c>
      <c r="B243" s="2">
        <v>46186</v>
      </c>
      <c r="C243" t="s">
        <v>9</v>
      </c>
      <c r="D243" s="3">
        <v>35958.699999999997</v>
      </c>
      <c r="E243">
        <v>45</v>
      </c>
      <c r="F243" s="2"/>
      <c r="G243">
        <v>17</v>
      </c>
      <c r="H243">
        <v>0</v>
      </c>
    </row>
    <row r="244" spans="1:8">
      <c r="A244" t="s">
        <v>253</v>
      </c>
      <c r="B244" s="2">
        <v>46175</v>
      </c>
      <c r="C244" t="s">
        <v>15</v>
      </c>
      <c r="D244" s="3">
        <v>5151.67</v>
      </c>
      <c r="E244">
        <v>30</v>
      </c>
      <c r="F244" s="2">
        <v>46190</v>
      </c>
      <c r="G244">
        <v>15</v>
      </c>
      <c r="H244">
        <v>1</v>
      </c>
    </row>
    <row r="245" spans="1:8">
      <c r="A245" t="s">
        <v>254</v>
      </c>
      <c r="B245" s="2">
        <v>46061</v>
      </c>
      <c r="C245" t="s">
        <v>11</v>
      </c>
      <c r="D245" s="3">
        <v>1624.13</v>
      </c>
      <c r="E245">
        <v>30</v>
      </c>
      <c r="F245" s="2">
        <v>46115</v>
      </c>
      <c r="G245">
        <v>54</v>
      </c>
      <c r="H245">
        <v>1</v>
      </c>
    </row>
    <row r="246" spans="1:8">
      <c r="A246" t="s">
        <v>255</v>
      </c>
      <c r="B246" s="2">
        <v>46104</v>
      </c>
      <c r="C246" t="s">
        <v>11</v>
      </c>
      <c r="D246" s="3">
        <v>2989.25</v>
      </c>
      <c r="E246">
        <v>45</v>
      </c>
      <c r="F246" s="2">
        <v>46174</v>
      </c>
      <c r="G246">
        <v>70</v>
      </c>
      <c r="H246">
        <v>1</v>
      </c>
    </row>
    <row r="247" spans="1:8">
      <c r="A247" t="s">
        <v>256</v>
      </c>
      <c r="B247" s="2">
        <v>46158</v>
      </c>
      <c r="C247" t="s">
        <v>9</v>
      </c>
      <c r="D247" s="3">
        <v>3061.86</v>
      </c>
      <c r="E247">
        <v>60</v>
      </c>
      <c r="F247" s="2"/>
      <c r="G247">
        <v>45</v>
      </c>
      <c r="H247">
        <v>0</v>
      </c>
    </row>
    <row r="248" spans="1:8">
      <c r="A248" t="s">
        <v>257</v>
      </c>
      <c r="B248" s="2">
        <v>46129</v>
      </c>
      <c r="C248" t="s">
        <v>11</v>
      </c>
      <c r="D248" s="3">
        <v>8955.25</v>
      </c>
      <c r="E248">
        <v>30</v>
      </c>
      <c r="F248" s="2">
        <v>46196</v>
      </c>
      <c r="G248">
        <v>67</v>
      </c>
      <c r="H248">
        <v>1</v>
      </c>
    </row>
    <row r="249" spans="1:8">
      <c r="A249" t="s">
        <v>258</v>
      </c>
      <c r="B249" s="2">
        <v>46090</v>
      </c>
      <c r="C249" t="s">
        <v>11</v>
      </c>
      <c r="D249" s="3">
        <v>6463.79</v>
      </c>
      <c r="E249">
        <v>30</v>
      </c>
      <c r="F249" s="2">
        <v>46142</v>
      </c>
      <c r="G249">
        <v>52</v>
      </c>
      <c r="H249">
        <v>1</v>
      </c>
    </row>
    <row r="250" spans="1:8">
      <c r="A250" t="s">
        <v>259</v>
      </c>
      <c r="B250" s="2">
        <v>46127</v>
      </c>
      <c r="C250" t="s">
        <v>11</v>
      </c>
      <c r="D250" s="3">
        <v>6069.24</v>
      </c>
      <c r="E250">
        <v>45</v>
      </c>
      <c r="F250" s="2">
        <v>46194</v>
      </c>
      <c r="G250">
        <v>67</v>
      </c>
      <c r="H250">
        <v>1</v>
      </c>
    </row>
    <row r="251" spans="1:8">
      <c r="A251" t="s">
        <v>260</v>
      </c>
      <c r="B251" s="2">
        <v>46175</v>
      </c>
      <c r="C251" t="s">
        <v>11</v>
      </c>
      <c r="D251" s="3">
        <v>15796.18</v>
      </c>
      <c r="E251">
        <v>30</v>
      </c>
      <c r="F251" s="2"/>
      <c r="G251">
        <v>28</v>
      </c>
      <c r="H251">
        <v>0</v>
      </c>
    </row>
    <row r="252" spans="1:8">
      <c r="A252" t="s">
        <v>261</v>
      </c>
      <c r="B252" s="2">
        <v>46085</v>
      </c>
      <c r="C252" t="s">
        <v>9</v>
      </c>
      <c r="D252" s="3">
        <v>11940.57</v>
      </c>
      <c r="E252">
        <v>30</v>
      </c>
      <c r="F252" s="2">
        <v>46131</v>
      </c>
      <c r="G252">
        <v>46</v>
      </c>
      <c r="H252">
        <v>1</v>
      </c>
    </row>
    <row r="253" spans="1:8">
      <c r="A253" t="s">
        <v>262</v>
      </c>
      <c r="B253" s="2">
        <v>46158</v>
      </c>
      <c r="C253" t="s">
        <v>9</v>
      </c>
      <c r="D253" s="3">
        <v>11659.42</v>
      </c>
      <c r="E253">
        <v>60</v>
      </c>
      <c r="F253" s="2"/>
      <c r="G253">
        <v>45</v>
      </c>
      <c r="H253">
        <v>0</v>
      </c>
    </row>
    <row r="254" spans="1:8">
      <c r="A254" t="s">
        <v>263</v>
      </c>
      <c r="B254" s="2">
        <v>46156</v>
      </c>
      <c r="C254" t="s">
        <v>11</v>
      </c>
      <c r="D254" s="3">
        <v>12805.75</v>
      </c>
      <c r="E254">
        <v>45</v>
      </c>
      <c r="F254" s="2"/>
      <c r="G254">
        <v>47</v>
      </c>
      <c r="H254">
        <v>0</v>
      </c>
    </row>
    <row r="255" spans="1:8">
      <c r="A255" t="s">
        <v>264</v>
      </c>
      <c r="B255" s="2">
        <v>46177</v>
      </c>
      <c r="C255" t="s">
        <v>15</v>
      </c>
      <c r="D255" s="3">
        <v>15739.93</v>
      </c>
      <c r="E255">
        <v>30</v>
      </c>
      <c r="F255" s="2"/>
      <c r="G255">
        <v>26</v>
      </c>
      <c r="H255">
        <v>0</v>
      </c>
    </row>
    <row r="256" spans="1:8">
      <c r="A256" t="s">
        <v>265</v>
      </c>
      <c r="B256" s="2">
        <v>46095</v>
      </c>
      <c r="C256" t="s">
        <v>15</v>
      </c>
      <c r="D256" s="3">
        <v>1032.6300000000001</v>
      </c>
      <c r="E256">
        <v>60</v>
      </c>
      <c r="F256" s="2">
        <v>46160</v>
      </c>
      <c r="G256">
        <v>65</v>
      </c>
      <c r="H256">
        <v>1</v>
      </c>
    </row>
    <row r="257" spans="1:8">
      <c r="A257" t="s">
        <v>266</v>
      </c>
      <c r="B257" s="2">
        <v>46084</v>
      </c>
      <c r="C257" t="s">
        <v>9</v>
      </c>
      <c r="D257" s="3">
        <v>5903.99</v>
      </c>
      <c r="E257">
        <v>30</v>
      </c>
      <c r="F257" s="2">
        <v>46120</v>
      </c>
      <c r="G257">
        <v>36</v>
      </c>
      <c r="H257">
        <v>1</v>
      </c>
    </row>
    <row r="258" spans="1:8">
      <c r="A258" t="s">
        <v>267</v>
      </c>
      <c r="B258" s="2">
        <v>46130</v>
      </c>
      <c r="C258" t="s">
        <v>9</v>
      </c>
      <c r="D258" s="3">
        <v>960.65</v>
      </c>
      <c r="E258">
        <v>60</v>
      </c>
      <c r="F258" s="2"/>
      <c r="G258">
        <v>73</v>
      </c>
      <c r="H258">
        <v>0</v>
      </c>
    </row>
    <row r="259" spans="1:8">
      <c r="A259" t="s">
        <v>268</v>
      </c>
      <c r="B259" s="2">
        <v>46128</v>
      </c>
      <c r="C259" t="s">
        <v>15</v>
      </c>
      <c r="D259" s="3">
        <v>8812.1</v>
      </c>
      <c r="E259">
        <v>30</v>
      </c>
      <c r="F259" s="2">
        <v>46174</v>
      </c>
      <c r="G259">
        <v>46</v>
      </c>
      <c r="H259">
        <v>1</v>
      </c>
    </row>
    <row r="260" spans="1:8">
      <c r="A260" t="s">
        <v>269</v>
      </c>
      <c r="B260" s="2">
        <v>46111</v>
      </c>
      <c r="C260" t="s">
        <v>15</v>
      </c>
      <c r="D260" s="3">
        <v>8460.7099999999991</v>
      </c>
      <c r="E260">
        <v>45</v>
      </c>
      <c r="F260" s="2">
        <v>46168</v>
      </c>
      <c r="G260">
        <v>57</v>
      </c>
      <c r="H260">
        <v>1</v>
      </c>
    </row>
    <row r="261" spans="1:8">
      <c r="A261" t="s">
        <v>270</v>
      </c>
      <c r="B261" s="2">
        <v>46163</v>
      </c>
      <c r="C261" t="s">
        <v>11</v>
      </c>
      <c r="D261" s="3">
        <v>24181.759999999998</v>
      </c>
      <c r="E261">
        <v>30</v>
      </c>
      <c r="F261" s="2"/>
      <c r="G261">
        <v>40</v>
      </c>
      <c r="H261">
        <v>0</v>
      </c>
    </row>
    <row r="262" spans="1:8">
      <c r="A262" t="s">
        <v>271</v>
      </c>
      <c r="B262" s="2">
        <v>46165</v>
      </c>
      <c r="C262" t="s">
        <v>15</v>
      </c>
      <c r="D262" s="3">
        <v>27874.17</v>
      </c>
      <c r="E262">
        <v>30</v>
      </c>
      <c r="F262" s="2">
        <v>46199</v>
      </c>
      <c r="G262">
        <v>34</v>
      </c>
      <c r="H262">
        <v>1</v>
      </c>
    </row>
    <row r="263" spans="1:8">
      <c r="A263" t="s">
        <v>272</v>
      </c>
      <c r="B263" s="2">
        <v>46088</v>
      </c>
      <c r="C263" t="s">
        <v>9</v>
      </c>
      <c r="D263" s="3">
        <v>10410.77</v>
      </c>
      <c r="E263">
        <v>60</v>
      </c>
      <c r="F263" s="2">
        <v>46155</v>
      </c>
      <c r="G263">
        <v>67</v>
      </c>
      <c r="H263">
        <v>1</v>
      </c>
    </row>
    <row r="264" spans="1:8">
      <c r="A264" t="s">
        <v>273</v>
      </c>
      <c r="B264" s="2">
        <v>46165</v>
      </c>
      <c r="C264" t="s">
        <v>11</v>
      </c>
      <c r="D264" s="3">
        <v>5153.6499999999996</v>
      </c>
      <c r="E264">
        <v>30</v>
      </c>
      <c r="F264" s="2">
        <v>46194</v>
      </c>
      <c r="G264">
        <v>29</v>
      </c>
      <c r="H264">
        <v>1</v>
      </c>
    </row>
    <row r="265" spans="1:8">
      <c r="A265" t="s">
        <v>274</v>
      </c>
      <c r="B265" s="2">
        <v>46086</v>
      </c>
      <c r="C265" t="s">
        <v>15</v>
      </c>
      <c r="D265" s="3">
        <v>13807.71</v>
      </c>
      <c r="E265">
        <v>30</v>
      </c>
      <c r="F265" s="2">
        <v>46102</v>
      </c>
      <c r="G265">
        <v>16</v>
      </c>
      <c r="H265">
        <v>1</v>
      </c>
    </row>
    <row r="266" spans="1:8">
      <c r="A266" t="s">
        <v>275</v>
      </c>
      <c r="B266" s="2">
        <v>46111</v>
      </c>
      <c r="C266" t="s">
        <v>9</v>
      </c>
      <c r="D266" s="3">
        <v>5013.57</v>
      </c>
      <c r="E266">
        <v>30</v>
      </c>
      <c r="F266" s="2">
        <v>46160</v>
      </c>
      <c r="G266">
        <v>49</v>
      </c>
      <c r="H266">
        <v>1</v>
      </c>
    </row>
    <row r="267" spans="1:8">
      <c r="A267" t="s">
        <v>276</v>
      </c>
      <c r="B267" s="2">
        <v>46057</v>
      </c>
      <c r="C267" t="s">
        <v>15</v>
      </c>
      <c r="D267" s="3">
        <v>8488.17</v>
      </c>
      <c r="E267">
        <v>45</v>
      </c>
      <c r="F267" s="2">
        <v>46105</v>
      </c>
      <c r="G267">
        <v>48</v>
      </c>
      <c r="H267">
        <v>1</v>
      </c>
    </row>
    <row r="268" spans="1:8">
      <c r="A268" t="s">
        <v>277</v>
      </c>
      <c r="B268" s="2">
        <v>46101</v>
      </c>
      <c r="C268" t="s">
        <v>15</v>
      </c>
      <c r="D268" s="3">
        <v>22787.279999999999</v>
      </c>
      <c r="E268">
        <v>45</v>
      </c>
      <c r="F268" s="2">
        <v>46147</v>
      </c>
      <c r="G268">
        <v>46</v>
      </c>
      <c r="H268">
        <v>1</v>
      </c>
    </row>
    <row r="269" spans="1:8">
      <c r="A269" t="s">
        <v>278</v>
      </c>
      <c r="B269" s="2">
        <v>46188</v>
      </c>
      <c r="C269" t="s">
        <v>15</v>
      </c>
      <c r="D269" s="3">
        <v>4866.1099999999997</v>
      </c>
      <c r="E269">
        <v>60</v>
      </c>
      <c r="F269" s="2"/>
      <c r="G269">
        <v>15</v>
      </c>
      <c r="H269">
        <v>0</v>
      </c>
    </row>
    <row r="270" spans="1:8">
      <c r="A270" t="s">
        <v>279</v>
      </c>
      <c r="B270" s="2">
        <v>46115</v>
      </c>
      <c r="C270" t="s">
        <v>15</v>
      </c>
      <c r="D270" s="3">
        <v>19024.830000000002</v>
      </c>
      <c r="E270">
        <v>30</v>
      </c>
      <c r="F270" s="2">
        <v>46136</v>
      </c>
      <c r="G270">
        <v>21</v>
      </c>
      <c r="H270">
        <v>1</v>
      </c>
    </row>
    <row r="271" spans="1:8">
      <c r="A271" t="s">
        <v>280</v>
      </c>
      <c r="B271" s="2">
        <v>46153</v>
      </c>
      <c r="C271" t="s">
        <v>15</v>
      </c>
      <c r="D271" s="3">
        <v>16734.419999999998</v>
      </c>
      <c r="E271">
        <v>30</v>
      </c>
      <c r="F271" s="2">
        <v>46202</v>
      </c>
      <c r="G271">
        <v>49</v>
      </c>
      <c r="H271">
        <v>1</v>
      </c>
    </row>
    <row r="272" spans="1:8">
      <c r="A272" t="s">
        <v>281</v>
      </c>
      <c r="B272" s="2">
        <v>46069</v>
      </c>
      <c r="C272" t="s">
        <v>15</v>
      </c>
      <c r="D272" s="3">
        <v>3271.58</v>
      </c>
      <c r="E272">
        <v>30</v>
      </c>
      <c r="F272" s="2">
        <v>46094</v>
      </c>
      <c r="G272">
        <v>25</v>
      </c>
      <c r="H272">
        <v>1</v>
      </c>
    </row>
    <row r="273" spans="1:8">
      <c r="A273" t="s">
        <v>282</v>
      </c>
      <c r="B273" s="2">
        <v>46142</v>
      </c>
      <c r="C273" t="s">
        <v>15</v>
      </c>
      <c r="D273" s="3">
        <v>22510.01</v>
      </c>
      <c r="E273">
        <v>45</v>
      </c>
      <c r="F273" s="2">
        <v>46198</v>
      </c>
      <c r="G273">
        <v>56</v>
      </c>
      <c r="H273">
        <v>1</v>
      </c>
    </row>
    <row r="274" spans="1:8">
      <c r="A274" t="s">
        <v>283</v>
      </c>
      <c r="B274" s="2">
        <v>46106</v>
      </c>
      <c r="C274" t="s">
        <v>15</v>
      </c>
      <c r="D274" s="3">
        <v>17092.38</v>
      </c>
      <c r="E274">
        <v>60</v>
      </c>
      <c r="F274" s="2">
        <v>46155</v>
      </c>
      <c r="G274">
        <v>49</v>
      </c>
      <c r="H274">
        <v>1</v>
      </c>
    </row>
    <row r="275" spans="1:8">
      <c r="A275" t="s">
        <v>284</v>
      </c>
      <c r="B275" s="2">
        <v>46158</v>
      </c>
      <c r="C275" t="s">
        <v>11</v>
      </c>
      <c r="D275" s="3">
        <v>9412.06</v>
      </c>
      <c r="E275">
        <v>45</v>
      </c>
      <c r="F275" s="2"/>
      <c r="G275">
        <v>45</v>
      </c>
      <c r="H275">
        <v>0</v>
      </c>
    </row>
    <row r="276" spans="1:8">
      <c r="A276" t="s">
        <v>285</v>
      </c>
      <c r="B276" s="2">
        <v>46183</v>
      </c>
      <c r="C276" t="s">
        <v>9</v>
      </c>
      <c r="D276" s="3">
        <v>3965.94</v>
      </c>
      <c r="E276">
        <v>45</v>
      </c>
      <c r="F276" s="2"/>
      <c r="G276">
        <v>20</v>
      </c>
      <c r="H276">
        <v>0</v>
      </c>
    </row>
    <row r="277" spans="1:8">
      <c r="A277" t="s">
        <v>286</v>
      </c>
      <c r="B277" s="2">
        <v>46128</v>
      </c>
      <c r="C277" t="s">
        <v>11</v>
      </c>
      <c r="D277" s="3">
        <v>3599.73</v>
      </c>
      <c r="E277">
        <v>30</v>
      </c>
      <c r="F277" s="2">
        <v>46171</v>
      </c>
      <c r="G277">
        <v>43</v>
      </c>
      <c r="H277">
        <v>1</v>
      </c>
    </row>
    <row r="278" spans="1:8">
      <c r="A278" t="s">
        <v>287</v>
      </c>
      <c r="B278" s="2">
        <v>46068</v>
      </c>
      <c r="C278" t="s">
        <v>11</v>
      </c>
      <c r="D278" s="3">
        <v>4964.95</v>
      </c>
      <c r="E278">
        <v>60</v>
      </c>
      <c r="F278" s="2">
        <v>46166</v>
      </c>
      <c r="G278">
        <v>98</v>
      </c>
      <c r="H278">
        <v>1</v>
      </c>
    </row>
    <row r="279" spans="1:8">
      <c r="A279" t="s">
        <v>288</v>
      </c>
      <c r="B279" s="2">
        <v>46120</v>
      </c>
      <c r="C279" t="s">
        <v>11</v>
      </c>
      <c r="D279" s="3">
        <v>14623.95</v>
      </c>
      <c r="E279">
        <v>30</v>
      </c>
      <c r="F279" s="2">
        <v>46180</v>
      </c>
      <c r="G279">
        <v>60</v>
      </c>
      <c r="H279">
        <v>1</v>
      </c>
    </row>
    <row r="280" spans="1:8">
      <c r="A280" t="s">
        <v>289</v>
      </c>
      <c r="B280" s="2">
        <v>46071</v>
      </c>
      <c r="C280" t="s">
        <v>9</v>
      </c>
      <c r="D280" s="3">
        <v>3268.86</v>
      </c>
      <c r="E280">
        <v>30</v>
      </c>
      <c r="F280" s="2">
        <v>46113</v>
      </c>
      <c r="G280">
        <v>42</v>
      </c>
      <c r="H280">
        <v>1</v>
      </c>
    </row>
    <row r="281" spans="1:8">
      <c r="A281" t="s">
        <v>290</v>
      </c>
      <c r="B281" s="2">
        <v>46116</v>
      </c>
      <c r="C281" t="s">
        <v>9</v>
      </c>
      <c r="D281" s="3">
        <v>13165.22</v>
      </c>
      <c r="E281">
        <v>30</v>
      </c>
      <c r="F281" s="2">
        <v>46157</v>
      </c>
      <c r="G281">
        <v>41</v>
      </c>
      <c r="H281">
        <v>1</v>
      </c>
    </row>
    <row r="282" spans="1:8">
      <c r="A282" t="s">
        <v>291</v>
      </c>
      <c r="B282" s="2">
        <v>46062</v>
      </c>
      <c r="C282" t="s">
        <v>15</v>
      </c>
      <c r="D282" s="3">
        <v>2455.4499999999998</v>
      </c>
      <c r="E282">
        <v>30</v>
      </c>
      <c r="F282" s="2">
        <v>46091</v>
      </c>
      <c r="G282">
        <v>29</v>
      </c>
      <c r="H282">
        <v>1</v>
      </c>
    </row>
    <row r="283" spans="1:8">
      <c r="A283" t="s">
        <v>292</v>
      </c>
      <c r="B283" s="2">
        <v>46143</v>
      </c>
      <c r="C283" t="s">
        <v>15</v>
      </c>
      <c r="D283" s="3">
        <v>6930.95</v>
      </c>
      <c r="E283">
        <v>30</v>
      </c>
      <c r="F283" s="2">
        <v>46183</v>
      </c>
      <c r="G283">
        <v>40</v>
      </c>
      <c r="H283">
        <v>1</v>
      </c>
    </row>
    <row r="284" spans="1:8">
      <c r="A284" t="s">
        <v>293</v>
      </c>
      <c r="B284" s="2">
        <v>46097</v>
      </c>
      <c r="C284" t="s">
        <v>15</v>
      </c>
      <c r="D284" s="3">
        <v>9485.02</v>
      </c>
      <c r="E284">
        <v>30</v>
      </c>
      <c r="F284" s="2">
        <v>46130</v>
      </c>
      <c r="G284">
        <v>33</v>
      </c>
      <c r="H284">
        <v>1</v>
      </c>
    </row>
    <row r="285" spans="1:8">
      <c r="A285" t="s">
        <v>294</v>
      </c>
      <c r="B285" s="2">
        <v>46082</v>
      </c>
      <c r="C285" t="s">
        <v>15</v>
      </c>
      <c r="D285" s="3">
        <v>98022.43</v>
      </c>
      <c r="E285">
        <v>30</v>
      </c>
      <c r="F285" s="2">
        <v>46119</v>
      </c>
      <c r="G285">
        <v>37</v>
      </c>
      <c r="H285">
        <v>1</v>
      </c>
    </row>
    <row r="286" spans="1:8">
      <c r="A286" t="s">
        <v>295</v>
      </c>
      <c r="B286" s="2">
        <v>46056</v>
      </c>
      <c r="C286" t="s">
        <v>11</v>
      </c>
      <c r="D286" s="3">
        <v>2144.17</v>
      </c>
      <c r="E286">
        <v>45</v>
      </c>
      <c r="F286" s="2">
        <v>46127</v>
      </c>
      <c r="G286">
        <v>71</v>
      </c>
      <c r="H286">
        <v>1</v>
      </c>
    </row>
    <row r="287" spans="1:8">
      <c r="A287" t="s">
        <v>296</v>
      </c>
      <c r="B287" s="2">
        <v>46178</v>
      </c>
      <c r="C287" t="s">
        <v>11</v>
      </c>
      <c r="D287" s="3">
        <v>37043.050000000003</v>
      </c>
      <c r="E287">
        <v>30</v>
      </c>
      <c r="F287" s="2"/>
      <c r="G287">
        <v>25</v>
      </c>
      <c r="H287">
        <v>0</v>
      </c>
    </row>
    <row r="288" spans="1:8">
      <c r="A288" t="s">
        <v>297</v>
      </c>
      <c r="B288" s="2">
        <v>46171</v>
      </c>
      <c r="C288" t="s">
        <v>15</v>
      </c>
      <c r="D288" s="3">
        <v>9874.0300000000007</v>
      </c>
      <c r="E288">
        <v>30</v>
      </c>
      <c r="F288" s="2"/>
      <c r="G288">
        <v>32</v>
      </c>
      <c r="H288">
        <v>0</v>
      </c>
    </row>
    <row r="289" spans="1:8">
      <c r="A289" t="s">
        <v>298</v>
      </c>
      <c r="B289" s="2">
        <v>46167</v>
      </c>
      <c r="C289" t="s">
        <v>11</v>
      </c>
      <c r="D289" s="3">
        <v>12822.97</v>
      </c>
      <c r="E289">
        <v>60</v>
      </c>
      <c r="F289" s="2"/>
      <c r="G289">
        <v>36</v>
      </c>
      <c r="H289">
        <v>0</v>
      </c>
    </row>
    <row r="290" spans="1:8">
      <c r="A290" t="s">
        <v>299</v>
      </c>
      <c r="B290" s="2">
        <v>46062</v>
      </c>
      <c r="C290" t="s">
        <v>11</v>
      </c>
      <c r="D290" s="3">
        <v>9567.9</v>
      </c>
      <c r="E290">
        <v>45</v>
      </c>
      <c r="F290" s="2">
        <v>46139</v>
      </c>
      <c r="G290">
        <v>77</v>
      </c>
      <c r="H290">
        <v>1</v>
      </c>
    </row>
    <row r="291" spans="1:8">
      <c r="A291" t="s">
        <v>300</v>
      </c>
      <c r="B291" s="2">
        <v>46102</v>
      </c>
      <c r="C291" t="s">
        <v>15</v>
      </c>
      <c r="D291" s="3">
        <v>13260.54</v>
      </c>
      <c r="E291">
        <v>30</v>
      </c>
      <c r="F291" s="2">
        <v>46142</v>
      </c>
      <c r="G291">
        <v>40</v>
      </c>
      <c r="H291">
        <v>1</v>
      </c>
    </row>
    <row r="292" spans="1:8">
      <c r="A292" t="s">
        <v>301</v>
      </c>
      <c r="B292" s="2">
        <v>46189</v>
      </c>
      <c r="C292" t="s">
        <v>9</v>
      </c>
      <c r="D292" s="3">
        <v>7289.11</v>
      </c>
      <c r="E292">
        <v>30</v>
      </c>
      <c r="F292" s="2"/>
      <c r="G292">
        <v>14</v>
      </c>
      <c r="H292">
        <v>0</v>
      </c>
    </row>
    <row r="293" spans="1:8">
      <c r="A293" t="s">
        <v>302</v>
      </c>
      <c r="B293" s="2">
        <v>46135</v>
      </c>
      <c r="C293" t="s">
        <v>15</v>
      </c>
      <c r="D293" s="3">
        <v>36383.54</v>
      </c>
      <c r="E293">
        <v>60</v>
      </c>
      <c r="F293" s="2">
        <v>46194</v>
      </c>
      <c r="G293">
        <v>59</v>
      </c>
      <c r="H293">
        <v>1</v>
      </c>
    </row>
    <row r="294" spans="1:8">
      <c r="A294" t="s">
        <v>303</v>
      </c>
      <c r="B294" s="2">
        <v>46071</v>
      </c>
      <c r="C294" t="s">
        <v>9</v>
      </c>
      <c r="D294" s="3">
        <v>5384.88</v>
      </c>
      <c r="E294">
        <v>30</v>
      </c>
      <c r="F294" s="2">
        <v>46107</v>
      </c>
      <c r="G294">
        <v>36</v>
      </c>
      <c r="H294">
        <v>1</v>
      </c>
    </row>
    <row r="295" spans="1:8">
      <c r="A295" t="s">
        <v>304</v>
      </c>
      <c r="B295" s="2">
        <v>46073</v>
      </c>
      <c r="C295" t="s">
        <v>15</v>
      </c>
      <c r="D295" s="3">
        <v>26371.94</v>
      </c>
      <c r="E295">
        <v>30</v>
      </c>
      <c r="F295" s="2">
        <v>46116</v>
      </c>
      <c r="G295">
        <v>43</v>
      </c>
      <c r="H295">
        <v>1</v>
      </c>
    </row>
    <row r="296" spans="1:8">
      <c r="A296" t="s">
        <v>305</v>
      </c>
      <c r="B296" s="2">
        <v>46090</v>
      </c>
      <c r="C296" t="s">
        <v>9</v>
      </c>
      <c r="D296" s="3">
        <v>4462.45</v>
      </c>
      <c r="E296">
        <v>60</v>
      </c>
      <c r="F296" s="2">
        <v>46178</v>
      </c>
      <c r="G296">
        <v>88</v>
      </c>
      <c r="H296">
        <v>1</v>
      </c>
    </row>
    <row r="297" spans="1:8">
      <c r="A297" t="s">
        <v>306</v>
      </c>
      <c r="B297" s="2">
        <v>46190</v>
      </c>
      <c r="C297" t="s">
        <v>9</v>
      </c>
      <c r="D297" s="3">
        <v>8002.98</v>
      </c>
      <c r="E297">
        <v>30</v>
      </c>
      <c r="F297" s="2"/>
      <c r="G297">
        <v>13</v>
      </c>
      <c r="H297">
        <v>0</v>
      </c>
    </row>
    <row r="298" spans="1:8">
      <c r="A298" t="s">
        <v>307</v>
      </c>
      <c r="B298" s="2">
        <v>46077</v>
      </c>
      <c r="C298" t="s">
        <v>9</v>
      </c>
      <c r="D298" s="3">
        <v>2909.86</v>
      </c>
      <c r="E298">
        <v>45</v>
      </c>
      <c r="F298" s="2">
        <v>46123</v>
      </c>
      <c r="G298">
        <v>46</v>
      </c>
      <c r="H298">
        <v>1</v>
      </c>
    </row>
    <row r="299" spans="1:8">
      <c r="A299" t="s">
        <v>308</v>
      </c>
      <c r="B299" s="2">
        <v>46180</v>
      </c>
      <c r="C299" t="s">
        <v>9</v>
      </c>
      <c r="D299" s="3">
        <v>13397.79</v>
      </c>
      <c r="E299">
        <v>45</v>
      </c>
      <c r="F299" s="2"/>
      <c r="G299">
        <v>23</v>
      </c>
      <c r="H299">
        <v>0</v>
      </c>
    </row>
    <row r="300" spans="1:8">
      <c r="A300" t="s">
        <v>309</v>
      </c>
      <c r="B300" s="2">
        <v>46148</v>
      </c>
      <c r="C300" t="s">
        <v>9</v>
      </c>
      <c r="D300" s="3">
        <v>36060.28</v>
      </c>
      <c r="E300">
        <v>45</v>
      </c>
      <c r="F300" s="2">
        <v>46197</v>
      </c>
      <c r="G300">
        <v>49</v>
      </c>
      <c r="H300">
        <v>1</v>
      </c>
    </row>
    <row r="301" spans="1:8">
      <c r="A301" t="s">
        <v>310</v>
      </c>
      <c r="B301" s="2">
        <v>46183</v>
      </c>
      <c r="C301" t="s">
        <v>11</v>
      </c>
      <c r="D301" s="3">
        <v>7867.26</v>
      </c>
      <c r="E301">
        <v>30</v>
      </c>
      <c r="F301" s="2">
        <v>46202</v>
      </c>
      <c r="G301">
        <v>19</v>
      </c>
      <c r="H301">
        <v>1</v>
      </c>
    </row>
    <row r="302" spans="1:8">
      <c r="A302" t="s">
        <v>311</v>
      </c>
      <c r="B302" s="2">
        <v>46169</v>
      </c>
      <c r="C302" t="s">
        <v>9</v>
      </c>
      <c r="D302" s="3">
        <v>6980.92</v>
      </c>
      <c r="E302">
        <v>30</v>
      </c>
      <c r="F302" s="2"/>
      <c r="G302">
        <v>34</v>
      </c>
      <c r="H302">
        <v>0</v>
      </c>
    </row>
    <row r="303" spans="1:8">
      <c r="A303" t="s">
        <v>312</v>
      </c>
      <c r="B303" s="2">
        <v>46100</v>
      </c>
      <c r="C303" t="s">
        <v>15</v>
      </c>
      <c r="D303" s="3">
        <v>2788.35</v>
      </c>
      <c r="E303">
        <v>30</v>
      </c>
      <c r="F303" s="2">
        <v>46146</v>
      </c>
      <c r="G303">
        <v>46</v>
      </c>
      <c r="H303">
        <v>1</v>
      </c>
    </row>
    <row r="304" spans="1:8">
      <c r="A304" t="s">
        <v>313</v>
      </c>
      <c r="B304" s="2">
        <v>46169</v>
      </c>
      <c r="C304" t="s">
        <v>11</v>
      </c>
      <c r="D304" s="3">
        <v>6758.31</v>
      </c>
      <c r="E304">
        <v>30</v>
      </c>
      <c r="F304" s="2"/>
      <c r="G304">
        <v>34</v>
      </c>
      <c r="H304">
        <v>0</v>
      </c>
    </row>
    <row r="305" spans="1:8">
      <c r="A305" t="s">
        <v>314</v>
      </c>
      <c r="B305" s="2">
        <v>46077</v>
      </c>
      <c r="C305" t="s">
        <v>11</v>
      </c>
      <c r="D305" s="3">
        <v>1728.53</v>
      </c>
      <c r="E305">
        <v>60</v>
      </c>
      <c r="F305" s="2">
        <v>46119</v>
      </c>
      <c r="G305">
        <v>42</v>
      </c>
      <c r="H305">
        <v>1</v>
      </c>
    </row>
    <row r="306" spans="1:8">
      <c r="A306" t="s">
        <v>315</v>
      </c>
      <c r="B306" s="2">
        <v>46094</v>
      </c>
      <c r="C306" t="s">
        <v>9</v>
      </c>
      <c r="D306" s="3">
        <v>3411.62</v>
      </c>
      <c r="E306">
        <v>30</v>
      </c>
      <c r="F306" s="2">
        <v>46138</v>
      </c>
      <c r="G306">
        <v>44</v>
      </c>
      <c r="H306">
        <v>1</v>
      </c>
    </row>
    <row r="307" spans="1:8">
      <c r="A307" t="s">
        <v>316</v>
      </c>
      <c r="B307" s="2">
        <v>46083</v>
      </c>
      <c r="C307" t="s">
        <v>11</v>
      </c>
      <c r="D307" s="3">
        <v>10663.77</v>
      </c>
      <c r="E307">
        <v>45</v>
      </c>
      <c r="F307" s="2">
        <v>46137</v>
      </c>
      <c r="G307">
        <v>54</v>
      </c>
      <c r="H307">
        <v>1</v>
      </c>
    </row>
    <row r="308" spans="1:8">
      <c r="A308" t="s">
        <v>317</v>
      </c>
      <c r="B308" s="2">
        <v>46072</v>
      </c>
      <c r="C308" t="s">
        <v>11</v>
      </c>
      <c r="D308" s="3">
        <v>31787.7</v>
      </c>
      <c r="E308">
        <v>45</v>
      </c>
      <c r="F308" s="2">
        <v>46156</v>
      </c>
      <c r="G308">
        <v>84</v>
      </c>
      <c r="H308">
        <v>1</v>
      </c>
    </row>
    <row r="309" spans="1:8">
      <c r="A309" t="s">
        <v>318</v>
      </c>
      <c r="B309" s="2">
        <v>46066</v>
      </c>
      <c r="C309" t="s">
        <v>11</v>
      </c>
      <c r="D309" s="3">
        <v>141072.93</v>
      </c>
      <c r="E309">
        <v>45</v>
      </c>
      <c r="F309" s="2">
        <v>46112</v>
      </c>
      <c r="G309">
        <v>46</v>
      </c>
      <c r="H309">
        <v>1</v>
      </c>
    </row>
    <row r="310" spans="1:8">
      <c r="A310" t="s">
        <v>319</v>
      </c>
      <c r="B310" s="2">
        <v>46080</v>
      </c>
      <c r="C310" t="s">
        <v>15</v>
      </c>
      <c r="D310" s="3">
        <v>4727.8999999999996</v>
      </c>
      <c r="E310">
        <v>30</v>
      </c>
      <c r="F310" s="2">
        <v>46109</v>
      </c>
      <c r="G310">
        <v>29</v>
      </c>
      <c r="H310">
        <v>1</v>
      </c>
    </row>
    <row r="311" spans="1:8">
      <c r="A311" t="s">
        <v>320</v>
      </c>
      <c r="B311" s="2">
        <v>46070</v>
      </c>
      <c r="C311" t="s">
        <v>15</v>
      </c>
      <c r="D311" s="3">
        <v>35707.699999999997</v>
      </c>
      <c r="E311">
        <v>30</v>
      </c>
      <c r="F311" s="2">
        <v>46129</v>
      </c>
      <c r="G311">
        <v>59</v>
      </c>
      <c r="H311">
        <v>1</v>
      </c>
    </row>
    <row r="312" spans="1:8">
      <c r="A312" t="s">
        <v>321</v>
      </c>
      <c r="B312" s="2">
        <v>46107</v>
      </c>
      <c r="C312" t="s">
        <v>11</v>
      </c>
      <c r="D312" s="3">
        <v>10846.24</v>
      </c>
      <c r="E312">
        <v>60</v>
      </c>
      <c r="F312" s="2">
        <v>46183</v>
      </c>
      <c r="G312">
        <v>76</v>
      </c>
      <c r="H312">
        <v>1</v>
      </c>
    </row>
    <row r="313" spans="1:8">
      <c r="A313" t="s">
        <v>322</v>
      </c>
      <c r="B313" s="2">
        <v>46063</v>
      </c>
      <c r="C313" t="s">
        <v>11</v>
      </c>
      <c r="D313" s="3">
        <v>7306.9</v>
      </c>
      <c r="E313">
        <v>45</v>
      </c>
      <c r="F313" s="2">
        <v>46125</v>
      </c>
      <c r="G313">
        <v>62</v>
      </c>
      <c r="H313">
        <v>1</v>
      </c>
    </row>
    <row r="314" spans="1:8">
      <c r="A314" t="s">
        <v>323</v>
      </c>
      <c r="B314" s="2">
        <v>46062</v>
      </c>
      <c r="C314" t="s">
        <v>15</v>
      </c>
      <c r="D314" s="3">
        <v>13100.63</v>
      </c>
      <c r="E314">
        <v>45</v>
      </c>
      <c r="F314" s="2">
        <v>46114</v>
      </c>
      <c r="G314">
        <v>52</v>
      </c>
      <c r="H314">
        <v>1</v>
      </c>
    </row>
    <row r="315" spans="1:8">
      <c r="A315" t="s">
        <v>324</v>
      </c>
      <c r="B315" s="2">
        <v>46192</v>
      </c>
      <c r="C315" t="s">
        <v>11</v>
      </c>
      <c r="D315" s="3">
        <v>9042.92</v>
      </c>
      <c r="E315">
        <v>60</v>
      </c>
      <c r="F315" s="2"/>
      <c r="G315">
        <v>11</v>
      </c>
      <c r="H315">
        <v>0</v>
      </c>
    </row>
    <row r="316" spans="1:8">
      <c r="A316" t="s">
        <v>325</v>
      </c>
      <c r="B316" s="2">
        <v>46066</v>
      </c>
      <c r="C316" t="s">
        <v>11</v>
      </c>
      <c r="D316" s="3">
        <v>9492.1200000000008</v>
      </c>
      <c r="E316">
        <v>45</v>
      </c>
      <c r="F316" s="2">
        <v>46131</v>
      </c>
      <c r="G316">
        <v>65</v>
      </c>
      <c r="H316">
        <v>1</v>
      </c>
    </row>
    <row r="317" spans="1:8">
      <c r="A317" t="s">
        <v>326</v>
      </c>
      <c r="B317" s="2">
        <v>46064</v>
      </c>
      <c r="C317" t="s">
        <v>11</v>
      </c>
      <c r="D317" s="3">
        <v>5650.44</v>
      </c>
      <c r="E317">
        <v>30</v>
      </c>
      <c r="F317" s="2">
        <v>46094</v>
      </c>
      <c r="G317">
        <v>30</v>
      </c>
      <c r="H317">
        <v>1</v>
      </c>
    </row>
    <row r="318" spans="1:8">
      <c r="A318" t="s">
        <v>327</v>
      </c>
      <c r="B318" s="2">
        <v>46058</v>
      </c>
      <c r="C318" t="s">
        <v>11</v>
      </c>
      <c r="D318" s="3">
        <v>2100.04</v>
      </c>
      <c r="E318">
        <v>45</v>
      </c>
      <c r="F318" s="2">
        <v>46122</v>
      </c>
      <c r="G318">
        <v>64</v>
      </c>
      <c r="H318">
        <v>1</v>
      </c>
    </row>
    <row r="319" spans="1:8">
      <c r="A319" t="s">
        <v>328</v>
      </c>
      <c r="B319" s="2">
        <v>46072</v>
      </c>
      <c r="C319" t="s">
        <v>9</v>
      </c>
      <c r="D319" s="3">
        <v>1815.65</v>
      </c>
      <c r="E319">
        <v>30</v>
      </c>
      <c r="F319" s="2">
        <v>46101</v>
      </c>
      <c r="G319">
        <v>29</v>
      </c>
      <c r="H319">
        <v>1</v>
      </c>
    </row>
    <row r="320" spans="1:8">
      <c r="A320" t="s">
        <v>329</v>
      </c>
      <c r="B320" s="2">
        <v>46127</v>
      </c>
      <c r="C320" t="s">
        <v>15</v>
      </c>
      <c r="D320" s="3">
        <v>16335.02</v>
      </c>
      <c r="E320">
        <v>45</v>
      </c>
      <c r="F320" s="2">
        <v>46182</v>
      </c>
      <c r="G320">
        <v>55</v>
      </c>
      <c r="H320">
        <v>1</v>
      </c>
    </row>
    <row r="321" spans="1:8">
      <c r="A321" t="s">
        <v>330</v>
      </c>
      <c r="B321" s="2">
        <v>46169</v>
      </c>
      <c r="C321" t="s">
        <v>9</v>
      </c>
      <c r="D321" s="3">
        <v>6445.4</v>
      </c>
      <c r="E321">
        <v>60</v>
      </c>
      <c r="F321" s="2"/>
      <c r="G321">
        <v>34</v>
      </c>
      <c r="H321">
        <v>0</v>
      </c>
    </row>
    <row r="322" spans="1:8">
      <c r="A322" t="s">
        <v>331</v>
      </c>
      <c r="B322" s="2">
        <v>46156</v>
      </c>
      <c r="C322" t="s">
        <v>9</v>
      </c>
      <c r="D322" s="3">
        <v>4683.18</v>
      </c>
      <c r="E322">
        <v>30</v>
      </c>
      <c r="F322" s="2">
        <v>46195</v>
      </c>
      <c r="G322">
        <v>39</v>
      </c>
      <c r="H322">
        <v>1</v>
      </c>
    </row>
    <row r="323" spans="1:8">
      <c r="A323" t="s">
        <v>332</v>
      </c>
      <c r="B323" s="2">
        <v>46135</v>
      </c>
      <c r="C323" t="s">
        <v>11</v>
      </c>
      <c r="D323" s="3">
        <v>8572.61</v>
      </c>
      <c r="E323">
        <v>30</v>
      </c>
      <c r="F323" s="2">
        <v>46175</v>
      </c>
      <c r="G323">
        <v>40</v>
      </c>
      <c r="H323">
        <v>1</v>
      </c>
    </row>
    <row r="324" spans="1:8">
      <c r="A324" t="s">
        <v>333</v>
      </c>
      <c r="B324" s="2">
        <v>46065</v>
      </c>
      <c r="C324" t="s">
        <v>11</v>
      </c>
      <c r="D324" s="3">
        <v>18821.47</v>
      </c>
      <c r="E324">
        <v>30</v>
      </c>
      <c r="F324" s="2">
        <v>46100</v>
      </c>
      <c r="G324">
        <v>35</v>
      </c>
      <c r="H324">
        <v>1</v>
      </c>
    </row>
    <row r="325" spans="1:8">
      <c r="A325" t="s">
        <v>334</v>
      </c>
      <c r="B325" s="2">
        <v>46162</v>
      </c>
      <c r="C325" t="s">
        <v>11</v>
      </c>
      <c r="D325" s="3">
        <v>10180.049999999999</v>
      </c>
      <c r="E325">
        <v>60</v>
      </c>
      <c r="F325" s="2"/>
      <c r="G325">
        <v>41</v>
      </c>
      <c r="H325">
        <v>0</v>
      </c>
    </row>
    <row r="326" spans="1:8">
      <c r="A326" t="s">
        <v>335</v>
      </c>
      <c r="B326" s="2">
        <v>46059</v>
      </c>
      <c r="C326" t="s">
        <v>9</v>
      </c>
      <c r="D326" s="3">
        <v>4410.6000000000004</v>
      </c>
      <c r="E326">
        <v>30</v>
      </c>
      <c r="F326" s="2">
        <v>46101</v>
      </c>
      <c r="G326">
        <v>42</v>
      </c>
      <c r="H326">
        <v>1</v>
      </c>
    </row>
    <row r="327" spans="1:8">
      <c r="A327" t="s">
        <v>336</v>
      </c>
      <c r="B327" s="2">
        <v>46142</v>
      </c>
      <c r="C327" t="s">
        <v>9</v>
      </c>
      <c r="D327" s="3">
        <v>28972.85</v>
      </c>
      <c r="E327">
        <v>30</v>
      </c>
      <c r="F327" s="2">
        <v>46179</v>
      </c>
      <c r="G327">
        <v>37</v>
      </c>
      <c r="H327">
        <v>1</v>
      </c>
    </row>
    <row r="328" spans="1:8">
      <c r="A328" t="s">
        <v>337</v>
      </c>
      <c r="B328" s="2">
        <v>46111</v>
      </c>
      <c r="C328" t="s">
        <v>9</v>
      </c>
      <c r="D328" s="3">
        <v>41233.53</v>
      </c>
      <c r="E328">
        <v>30</v>
      </c>
      <c r="F328" s="2">
        <v>46166</v>
      </c>
      <c r="G328">
        <v>55</v>
      </c>
      <c r="H328">
        <v>1</v>
      </c>
    </row>
    <row r="329" spans="1:8">
      <c r="A329" t="s">
        <v>338</v>
      </c>
      <c r="B329" s="2">
        <v>46177</v>
      </c>
      <c r="C329" t="s">
        <v>11</v>
      </c>
      <c r="D329" s="3">
        <v>13938.05</v>
      </c>
      <c r="E329">
        <v>30</v>
      </c>
      <c r="F329" s="2"/>
      <c r="G329">
        <v>26</v>
      </c>
      <c r="H329">
        <v>0</v>
      </c>
    </row>
    <row r="330" spans="1:8">
      <c r="A330" t="s">
        <v>339</v>
      </c>
      <c r="B330" s="2">
        <v>46097</v>
      </c>
      <c r="C330" t="s">
        <v>11</v>
      </c>
      <c r="D330" s="3">
        <v>22504.82</v>
      </c>
      <c r="E330">
        <v>30</v>
      </c>
      <c r="F330" s="2">
        <v>46148</v>
      </c>
      <c r="G330">
        <v>51</v>
      </c>
      <c r="H330">
        <v>1</v>
      </c>
    </row>
    <row r="331" spans="1:8">
      <c r="A331" t="s">
        <v>340</v>
      </c>
      <c r="B331" s="2">
        <v>46143</v>
      </c>
      <c r="C331" t="s">
        <v>15</v>
      </c>
      <c r="D331" s="3">
        <v>29430.34</v>
      </c>
      <c r="E331">
        <v>30</v>
      </c>
      <c r="F331" s="2">
        <v>46166</v>
      </c>
      <c r="G331">
        <v>23</v>
      </c>
      <c r="H331">
        <v>1</v>
      </c>
    </row>
    <row r="332" spans="1:8">
      <c r="A332" t="s">
        <v>341</v>
      </c>
      <c r="B332" s="2">
        <v>46115</v>
      </c>
      <c r="C332" t="s">
        <v>9</v>
      </c>
      <c r="D332" s="3">
        <v>26315.69</v>
      </c>
      <c r="E332">
        <v>30</v>
      </c>
      <c r="F332" s="2">
        <v>46158</v>
      </c>
      <c r="G332">
        <v>43</v>
      </c>
      <c r="H332">
        <v>1</v>
      </c>
    </row>
    <row r="333" spans="1:8">
      <c r="A333" t="s">
        <v>342</v>
      </c>
      <c r="B333" s="2">
        <v>46127</v>
      </c>
      <c r="C333" t="s">
        <v>15</v>
      </c>
      <c r="D333" s="3">
        <v>15707.92</v>
      </c>
      <c r="E333">
        <v>30</v>
      </c>
      <c r="F333" s="2">
        <v>46155</v>
      </c>
      <c r="G333">
        <v>28</v>
      </c>
      <c r="H333">
        <v>1</v>
      </c>
    </row>
    <row r="334" spans="1:8">
      <c r="A334" t="s">
        <v>343</v>
      </c>
      <c r="B334" s="2">
        <v>46185</v>
      </c>
      <c r="C334" t="s">
        <v>9</v>
      </c>
      <c r="D334" s="3">
        <v>15462.43</v>
      </c>
      <c r="E334">
        <v>30</v>
      </c>
      <c r="F334" s="2"/>
      <c r="G334">
        <v>18</v>
      </c>
      <c r="H334">
        <v>0</v>
      </c>
    </row>
    <row r="335" spans="1:8">
      <c r="A335" t="s">
        <v>344</v>
      </c>
      <c r="B335" s="2">
        <v>46153</v>
      </c>
      <c r="C335" t="s">
        <v>9</v>
      </c>
      <c r="D335" s="3">
        <v>14292.38</v>
      </c>
      <c r="E335">
        <v>30</v>
      </c>
      <c r="F335" s="2"/>
      <c r="G335">
        <v>50</v>
      </c>
      <c r="H335">
        <v>0</v>
      </c>
    </row>
    <row r="336" spans="1:8">
      <c r="A336" t="s">
        <v>345</v>
      </c>
      <c r="B336" s="2">
        <v>46112</v>
      </c>
      <c r="C336" t="s">
        <v>15</v>
      </c>
      <c r="D336" s="3">
        <v>2836.95</v>
      </c>
      <c r="E336">
        <v>30</v>
      </c>
      <c r="F336" s="2">
        <v>46142</v>
      </c>
      <c r="G336">
        <v>30</v>
      </c>
      <c r="H336">
        <v>1</v>
      </c>
    </row>
    <row r="337" spans="1:8">
      <c r="A337" t="s">
        <v>346</v>
      </c>
      <c r="B337" s="2">
        <v>46116</v>
      </c>
      <c r="C337" t="s">
        <v>11</v>
      </c>
      <c r="D337" s="3">
        <v>17129.28</v>
      </c>
      <c r="E337">
        <v>45</v>
      </c>
      <c r="F337" s="2">
        <v>46179</v>
      </c>
      <c r="G337">
        <v>63</v>
      </c>
      <c r="H337">
        <v>1</v>
      </c>
    </row>
    <row r="338" spans="1:8">
      <c r="A338" t="s">
        <v>347</v>
      </c>
      <c r="B338" s="2">
        <v>46152</v>
      </c>
      <c r="C338" t="s">
        <v>15</v>
      </c>
      <c r="D338" s="3">
        <v>2190.77</v>
      </c>
      <c r="E338">
        <v>30</v>
      </c>
      <c r="F338" s="2">
        <v>46160</v>
      </c>
      <c r="G338">
        <v>8</v>
      </c>
      <c r="H338">
        <v>1</v>
      </c>
    </row>
    <row r="339" spans="1:8">
      <c r="A339" t="s">
        <v>348</v>
      </c>
      <c r="B339" s="2">
        <v>46102</v>
      </c>
      <c r="C339" t="s">
        <v>9</v>
      </c>
      <c r="D339" s="3">
        <v>3839.98</v>
      </c>
      <c r="E339">
        <v>30</v>
      </c>
      <c r="F339" s="2">
        <v>46148</v>
      </c>
      <c r="G339">
        <v>46</v>
      </c>
      <c r="H339">
        <v>1</v>
      </c>
    </row>
    <row r="340" spans="1:8">
      <c r="A340" t="s">
        <v>349</v>
      </c>
      <c r="B340" s="2">
        <v>46077</v>
      </c>
      <c r="C340" t="s">
        <v>15</v>
      </c>
      <c r="D340" s="3">
        <v>31300.41</v>
      </c>
      <c r="E340">
        <v>30</v>
      </c>
      <c r="F340" s="2">
        <v>46139</v>
      </c>
      <c r="G340">
        <v>62</v>
      </c>
      <c r="H340">
        <v>1</v>
      </c>
    </row>
    <row r="341" spans="1:8">
      <c r="A341" t="s">
        <v>350</v>
      </c>
      <c r="B341" s="2">
        <v>46119</v>
      </c>
      <c r="C341" t="s">
        <v>9</v>
      </c>
      <c r="D341" s="3">
        <v>19693.45</v>
      </c>
      <c r="E341">
        <v>30</v>
      </c>
      <c r="F341" s="2">
        <v>46170</v>
      </c>
      <c r="G341">
        <v>51</v>
      </c>
      <c r="H341">
        <v>1</v>
      </c>
    </row>
    <row r="342" spans="1:8">
      <c r="A342" t="s">
        <v>351</v>
      </c>
      <c r="B342" s="2">
        <v>46063</v>
      </c>
      <c r="C342" t="s">
        <v>15</v>
      </c>
      <c r="D342" s="3">
        <v>37617.32</v>
      </c>
      <c r="E342">
        <v>30</v>
      </c>
      <c r="F342" s="2">
        <v>46102</v>
      </c>
      <c r="G342">
        <v>39</v>
      </c>
      <c r="H342">
        <v>1</v>
      </c>
    </row>
    <row r="343" spans="1:8">
      <c r="A343" t="s">
        <v>352</v>
      </c>
      <c r="B343" s="2">
        <v>46077</v>
      </c>
      <c r="C343" t="s">
        <v>9</v>
      </c>
      <c r="D343" s="3">
        <v>6477.87</v>
      </c>
      <c r="E343">
        <v>30</v>
      </c>
      <c r="F343" s="2">
        <v>46131</v>
      </c>
      <c r="G343">
        <v>54</v>
      </c>
      <c r="H343">
        <v>1</v>
      </c>
    </row>
    <row r="344" spans="1:8">
      <c r="A344" t="s">
        <v>353</v>
      </c>
      <c r="B344" s="2">
        <v>46112</v>
      </c>
      <c r="C344" t="s">
        <v>9</v>
      </c>
      <c r="D344" s="3">
        <v>2685.37</v>
      </c>
      <c r="E344">
        <v>60</v>
      </c>
      <c r="F344" s="2">
        <v>46199</v>
      </c>
      <c r="G344">
        <v>87</v>
      </c>
      <c r="H344">
        <v>1</v>
      </c>
    </row>
    <row r="345" spans="1:8">
      <c r="A345" t="s">
        <v>354</v>
      </c>
      <c r="B345" s="2">
        <v>46165</v>
      </c>
      <c r="C345" t="s">
        <v>11</v>
      </c>
      <c r="D345" s="3">
        <v>6683.41</v>
      </c>
      <c r="E345">
        <v>30</v>
      </c>
      <c r="F345" s="2">
        <v>46181</v>
      </c>
      <c r="G345">
        <v>16</v>
      </c>
      <c r="H345">
        <v>1</v>
      </c>
    </row>
    <row r="346" spans="1:8">
      <c r="A346" t="s">
        <v>355</v>
      </c>
      <c r="B346" s="2">
        <v>46163</v>
      </c>
      <c r="C346" t="s">
        <v>9</v>
      </c>
      <c r="D346" s="3">
        <v>9413.0499999999993</v>
      </c>
      <c r="E346">
        <v>30</v>
      </c>
      <c r="F346" s="2">
        <v>46190</v>
      </c>
      <c r="G346">
        <v>27</v>
      </c>
      <c r="H346">
        <v>1</v>
      </c>
    </row>
    <row r="347" spans="1:8">
      <c r="A347" t="s">
        <v>356</v>
      </c>
      <c r="B347" s="2">
        <v>46090</v>
      </c>
      <c r="C347" t="s">
        <v>9</v>
      </c>
      <c r="D347" s="3">
        <v>9198.6299999999992</v>
      </c>
      <c r="E347">
        <v>30</v>
      </c>
      <c r="F347" s="2">
        <v>46140</v>
      </c>
      <c r="G347">
        <v>50</v>
      </c>
      <c r="H347">
        <v>1</v>
      </c>
    </row>
    <row r="348" spans="1:8">
      <c r="A348" t="s">
        <v>357</v>
      </c>
      <c r="B348" s="2">
        <v>46113</v>
      </c>
      <c r="C348" t="s">
        <v>9</v>
      </c>
      <c r="D348" s="3">
        <v>26410.1</v>
      </c>
      <c r="E348">
        <v>30</v>
      </c>
      <c r="F348" s="2">
        <v>46155</v>
      </c>
      <c r="G348">
        <v>42</v>
      </c>
      <c r="H348">
        <v>1</v>
      </c>
    </row>
    <row r="349" spans="1:8">
      <c r="A349" t="s">
        <v>358</v>
      </c>
      <c r="B349" s="2">
        <v>46075</v>
      </c>
      <c r="C349" t="s">
        <v>15</v>
      </c>
      <c r="D349" s="3">
        <v>5922.72</v>
      </c>
      <c r="E349">
        <v>30</v>
      </c>
      <c r="F349" s="2">
        <v>46125</v>
      </c>
      <c r="G349">
        <v>50</v>
      </c>
      <c r="H349">
        <v>1</v>
      </c>
    </row>
    <row r="350" spans="1:8">
      <c r="A350" t="s">
        <v>359</v>
      </c>
      <c r="B350" s="2">
        <v>46159</v>
      </c>
      <c r="C350" t="s">
        <v>11</v>
      </c>
      <c r="D350" s="3">
        <v>12086.64</v>
      </c>
      <c r="E350">
        <v>45</v>
      </c>
      <c r="F350" s="2"/>
      <c r="G350">
        <v>44</v>
      </c>
      <c r="H350">
        <v>0</v>
      </c>
    </row>
    <row r="351" spans="1:8">
      <c r="A351" t="s">
        <v>360</v>
      </c>
      <c r="B351" s="2">
        <v>46088</v>
      </c>
      <c r="C351" t="s">
        <v>15</v>
      </c>
      <c r="D351" s="3">
        <v>3162.74</v>
      </c>
      <c r="E351">
        <v>45</v>
      </c>
      <c r="F351" s="2">
        <v>46113</v>
      </c>
      <c r="G351">
        <v>25</v>
      </c>
      <c r="H351">
        <v>1</v>
      </c>
    </row>
    <row r="352" spans="1:8">
      <c r="A352" t="s">
        <v>361</v>
      </c>
      <c r="B352" s="2">
        <v>46165</v>
      </c>
      <c r="C352" t="s">
        <v>11</v>
      </c>
      <c r="D352" s="3">
        <v>13334.88</v>
      </c>
      <c r="E352">
        <v>30</v>
      </c>
      <c r="F352" s="2">
        <v>46191</v>
      </c>
      <c r="G352">
        <v>26</v>
      </c>
      <c r="H352">
        <v>1</v>
      </c>
    </row>
    <row r="353" spans="1:8">
      <c r="A353" t="s">
        <v>362</v>
      </c>
      <c r="B353" s="2">
        <v>46171</v>
      </c>
      <c r="C353" t="s">
        <v>15</v>
      </c>
      <c r="D353" s="3">
        <v>8526.4599999999991</v>
      </c>
      <c r="E353">
        <v>30</v>
      </c>
      <c r="F353" s="2">
        <v>46176</v>
      </c>
      <c r="G353">
        <v>5</v>
      </c>
      <c r="H353">
        <v>1</v>
      </c>
    </row>
    <row r="354" spans="1:8">
      <c r="A354" t="s">
        <v>363</v>
      </c>
      <c r="B354" s="2">
        <v>46150</v>
      </c>
      <c r="C354" t="s">
        <v>11</v>
      </c>
      <c r="D354" s="3">
        <v>4015.87</v>
      </c>
      <c r="E354">
        <v>30</v>
      </c>
      <c r="F354" s="2">
        <v>46187</v>
      </c>
      <c r="G354">
        <v>37</v>
      </c>
      <c r="H354">
        <v>1</v>
      </c>
    </row>
    <row r="355" spans="1:8">
      <c r="A355" t="s">
        <v>364</v>
      </c>
      <c r="B355" s="2">
        <v>46100</v>
      </c>
      <c r="C355" t="s">
        <v>11</v>
      </c>
      <c r="D355" s="3">
        <v>6714.28</v>
      </c>
      <c r="E355">
        <v>30</v>
      </c>
      <c r="F355" s="2">
        <v>46138</v>
      </c>
      <c r="G355">
        <v>38</v>
      </c>
      <c r="H355">
        <v>1</v>
      </c>
    </row>
    <row r="356" spans="1:8">
      <c r="A356" t="s">
        <v>365</v>
      </c>
      <c r="B356" s="2">
        <v>46187</v>
      </c>
      <c r="C356" t="s">
        <v>11</v>
      </c>
      <c r="D356" s="3">
        <v>7070.21</v>
      </c>
      <c r="E356">
        <v>45</v>
      </c>
      <c r="F356" s="2"/>
      <c r="G356">
        <v>16</v>
      </c>
      <c r="H356">
        <v>0</v>
      </c>
    </row>
    <row r="357" spans="1:8">
      <c r="A357" t="s">
        <v>366</v>
      </c>
      <c r="B357" s="2">
        <v>46150</v>
      </c>
      <c r="C357" t="s">
        <v>11</v>
      </c>
      <c r="D357" s="3">
        <v>6487.72</v>
      </c>
      <c r="E357">
        <v>30</v>
      </c>
      <c r="F357" s="2">
        <v>46203</v>
      </c>
      <c r="G357">
        <v>53</v>
      </c>
      <c r="H357">
        <v>1</v>
      </c>
    </row>
    <row r="358" spans="1:8">
      <c r="A358" t="s">
        <v>367</v>
      </c>
      <c r="B358" s="2">
        <v>46144</v>
      </c>
      <c r="C358" t="s">
        <v>9</v>
      </c>
      <c r="D358" s="3">
        <v>49969.23</v>
      </c>
      <c r="E358">
        <v>30</v>
      </c>
      <c r="F358" s="2"/>
      <c r="G358">
        <v>59</v>
      </c>
      <c r="H358">
        <v>0</v>
      </c>
    </row>
    <row r="359" spans="1:8">
      <c r="A359" t="s">
        <v>368</v>
      </c>
      <c r="B359" s="2">
        <v>46173</v>
      </c>
      <c r="C359" t="s">
        <v>9</v>
      </c>
      <c r="D359" s="3">
        <v>7703.08</v>
      </c>
      <c r="E359">
        <v>60</v>
      </c>
      <c r="F359" s="2"/>
      <c r="G359">
        <v>30</v>
      </c>
      <c r="H359">
        <v>0</v>
      </c>
    </row>
    <row r="360" spans="1:8">
      <c r="A360" t="s">
        <v>369</v>
      </c>
      <c r="B360" s="2">
        <v>46177</v>
      </c>
      <c r="C360" t="s">
        <v>11</v>
      </c>
      <c r="D360" s="3">
        <v>6660.34</v>
      </c>
      <c r="E360">
        <v>30</v>
      </c>
      <c r="F360" s="2">
        <v>46191</v>
      </c>
      <c r="G360">
        <v>14</v>
      </c>
      <c r="H360">
        <v>1</v>
      </c>
    </row>
    <row r="361" spans="1:8">
      <c r="A361" t="s">
        <v>370</v>
      </c>
      <c r="B361" s="2">
        <v>46064</v>
      </c>
      <c r="C361" t="s">
        <v>11</v>
      </c>
      <c r="D361" s="3">
        <v>1043.54</v>
      </c>
      <c r="E361">
        <v>30</v>
      </c>
      <c r="F361" s="2">
        <v>46110</v>
      </c>
      <c r="G361">
        <v>46</v>
      </c>
      <c r="H361">
        <v>1</v>
      </c>
    </row>
    <row r="362" spans="1:8">
      <c r="A362" t="s">
        <v>371</v>
      </c>
      <c r="B362" s="2">
        <v>46177</v>
      </c>
      <c r="C362" t="s">
        <v>9</v>
      </c>
      <c r="D362" s="3">
        <v>3475.92</v>
      </c>
      <c r="E362">
        <v>45</v>
      </c>
      <c r="F362" s="2"/>
      <c r="G362">
        <v>26</v>
      </c>
      <c r="H362">
        <v>0</v>
      </c>
    </row>
    <row r="363" spans="1:8">
      <c r="A363" t="s">
        <v>372</v>
      </c>
      <c r="B363" s="2">
        <v>46161</v>
      </c>
      <c r="C363" t="s">
        <v>15</v>
      </c>
      <c r="D363" s="3">
        <v>6533.83</v>
      </c>
      <c r="E363">
        <v>30</v>
      </c>
      <c r="F363" s="2">
        <v>46199</v>
      </c>
      <c r="G363">
        <v>38</v>
      </c>
      <c r="H363">
        <v>1</v>
      </c>
    </row>
    <row r="364" spans="1:8">
      <c r="A364" t="s">
        <v>373</v>
      </c>
      <c r="B364" s="2">
        <v>46082</v>
      </c>
      <c r="C364" t="s">
        <v>15</v>
      </c>
      <c r="D364" s="3">
        <v>4281.1099999999997</v>
      </c>
      <c r="E364">
        <v>30</v>
      </c>
      <c r="F364" s="2">
        <v>46127</v>
      </c>
      <c r="G364">
        <v>45</v>
      </c>
      <c r="H364">
        <v>1</v>
      </c>
    </row>
    <row r="365" spans="1:8">
      <c r="A365" t="s">
        <v>374</v>
      </c>
      <c r="B365" s="2">
        <v>46097</v>
      </c>
      <c r="C365" t="s">
        <v>15</v>
      </c>
      <c r="D365" s="3">
        <v>33844.410000000003</v>
      </c>
      <c r="E365">
        <v>30</v>
      </c>
      <c r="F365" s="2">
        <v>46121</v>
      </c>
      <c r="G365">
        <v>24</v>
      </c>
      <c r="H365">
        <v>1</v>
      </c>
    </row>
    <row r="366" spans="1:8">
      <c r="A366" t="s">
        <v>375</v>
      </c>
      <c r="B366" s="2">
        <v>46159</v>
      </c>
      <c r="C366" t="s">
        <v>9</v>
      </c>
      <c r="D366" s="3">
        <v>7207.54</v>
      </c>
      <c r="E366">
        <v>60</v>
      </c>
      <c r="F366" s="2"/>
      <c r="G366">
        <v>44</v>
      </c>
      <c r="H366">
        <v>0</v>
      </c>
    </row>
    <row r="367" spans="1:8">
      <c r="A367" t="s">
        <v>376</v>
      </c>
      <c r="B367" s="2">
        <v>46084</v>
      </c>
      <c r="C367" t="s">
        <v>11</v>
      </c>
      <c r="D367" s="3">
        <v>30830.68</v>
      </c>
      <c r="E367">
        <v>30</v>
      </c>
      <c r="F367" s="2">
        <v>46116</v>
      </c>
      <c r="G367">
        <v>32</v>
      </c>
      <c r="H367">
        <v>1</v>
      </c>
    </row>
    <row r="368" spans="1:8">
      <c r="A368" t="s">
        <v>377</v>
      </c>
      <c r="B368" s="2">
        <v>46117</v>
      </c>
      <c r="C368" t="s">
        <v>9</v>
      </c>
      <c r="D368" s="3">
        <v>9041.01</v>
      </c>
      <c r="E368">
        <v>30</v>
      </c>
      <c r="F368" s="2">
        <v>46174</v>
      </c>
      <c r="G368">
        <v>57</v>
      </c>
      <c r="H368">
        <v>1</v>
      </c>
    </row>
    <row r="369" spans="1:8">
      <c r="A369" t="s">
        <v>378</v>
      </c>
      <c r="B369" s="2">
        <v>46150</v>
      </c>
      <c r="C369" t="s">
        <v>9</v>
      </c>
      <c r="D369" s="3">
        <v>8822.4</v>
      </c>
      <c r="E369">
        <v>30</v>
      </c>
      <c r="F369" s="2">
        <v>46177</v>
      </c>
      <c r="G369">
        <v>27</v>
      </c>
      <c r="H369">
        <v>1</v>
      </c>
    </row>
    <row r="370" spans="1:8">
      <c r="A370" t="s">
        <v>379</v>
      </c>
      <c r="B370" s="2">
        <v>46145</v>
      </c>
      <c r="C370" t="s">
        <v>11</v>
      </c>
      <c r="D370" s="3">
        <v>7777.77</v>
      </c>
      <c r="E370">
        <v>30</v>
      </c>
      <c r="F370" s="2">
        <v>46174</v>
      </c>
      <c r="G370">
        <v>29</v>
      </c>
      <c r="H370">
        <v>1</v>
      </c>
    </row>
    <row r="371" spans="1:8">
      <c r="A371" t="s">
        <v>380</v>
      </c>
      <c r="B371" s="2">
        <v>46181</v>
      </c>
      <c r="C371" t="s">
        <v>9</v>
      </c>
      <c r="D371" s="3">
        <v>8532.33</v>
      </c>
      <c r="E371">
        <v>45</v>
      </c>
      <c r="F371" s="2"/>
      <c r="G371">
        <v>22</v>
      </c>
      <c r="H371">
        <v>0</v>
      </c>
    </row>
    <row r="372" spans="1:8">
      <c r="A372" t="s">
        <v>381</v>
      </c>
      <c r="B372" s="2">
        <v>46069</v>
      </c>
      <c r="C372" t="s">
        <v>9</v>
      </c>
      <c r="D372" s="3">
        <v>47411.33</v>
      </c>
      <c r="E372">
        <v>30</v>
      </c>
      <c r="F372" s="2">
        <v>46118</v>
      </c>
      <c r="G372">
        <v>49</v>
      </c>
      <c r="H372">
        <v>1</v>
      </c>
    </row>
    <row r="373" spans="1:8">
      <c r="A373" t="s">
        <v>382</v>
      </c>
      <c r="B373" s="2">
        <v>46095</v>
      </c>
      <c r="C373" t="s">
        <v>15</v>
      </c>
      <c r="D373" s="3">
        <v>835.65</v>
      </c>
      <c r="E373">
        <v>45</v>
      </c>
      <c r="F373" s="2">
        <v>46152</v>
      </c>
      <c r="G373">
        <v>57</v>
      </c>
      <c r="H373">
        <v>1</v>
      </c>
    </row>
    <row r="374" spans="1:8">
      <c r="A374" t="s">
        <v>383</v>
      </c>
      <c r="B374" s="2">
        <v>46191</v>
      </c>
      <c r="C374" t="s">
        <v>11</v>
      </c>
      <c r="D374" s="3">
        <v>1148.57</v>
      </c>
      <c r="E374">
        <v>45</v>
      </c>
      <c r="F374" s="2"/>
      <c r="G374">
        <v>12</v>
      </c>
      <c r="H374">
        <v>0</v>
      </c>
    </row>
    <row r="375" spans="1:8">
      <c r="A375" t="s">
        <v>384</v>
      </c>
      <c r="B375" s="2">
        <v>46133</v>
      </c>
      <c r="C375" t="s">
        <v>11</v>
      </c>
      <c r="D375" s="3">
        <v>4937.68</v>
      </c>
      <c r="E375">
        <v>45</v>
      </c>
      <c r="F375" s="2">
        <v>46186</v>
      </c>
      <c r="G375">
        <v>53</v>
      </c>
      <c r="H375">
        <v>1</v>
      </c>
    </row>
    <row r="376" spans="1:8">
      <c r="A376" t="s">
        <v>385</v>
      </c>
      <c r="B376" s="2">
        <v>46088</v>
      </c>
      <c r="C376" t="s">
        <v>15</v>
      </c>
      <c r="D376" s="3">
        <v>8624.39</v>
      </c>
      <c r="E376">
        <v>30</v>
      </c>
      <c r="F376" s="2">
        <v>46139</v>
      </c>
      <c r="G376">
        <v>51</v>
      </c>
      <c r="H376">
        <v>1</v>
      </c>
    </row>
    <row r="377" spans="1:8">
      <c r="A377" t="s">
        <v>386</v>
      </c>
      <c r="B377" s="2">
        <v>46094</v>
      </c>
      <c r="C377" t="s">
        <v>15</v>
      </c>
      <c r="D377" s="3">
        <v>16948.349999999999</v>
      </c>
      <c r="E377">
        <v>60</v>
      </c>
      <c r="F377" s="2">
        <v>46157</v>
      </c>
      <c r="G377">
        <v>63</v>
      </c>
      <c r="H377">
        <v>1</v>
      </c>
    </row>
    <row r="378" spans="1:8">
      <c r="A378" t="s">
        <v>387</v>
      </c>
      <c r="B378" s="2">
        <v>46101</v>
      </c>
      <c r="C378" t="s">
        <v>9</v>
      </c>
      <c r="D378" s="3">
        <v>13642</v>
      </c>
      <c r="E378">
        <v>45</v>
      </c>
      <c r="F378" s="2">
        <v>46143</v>
      </c>
      <c r="G378">
        <v>42</v>
      </c>
      <c r="H378">
        <v>1</v>
      </c>
    </row>
    <row r="379" spans="1:8">
      <c r="A379" t="s">
        <v>388</v>
      </c>
      <c r="B379" s="2">
        <v>46131</v>
      </c>
      <c r="C379" t="s">
        <v>11</v>
      </c>
      <c r="D379" s="3">
        <v>5788.19</v>
      </c>
      <c r="E379">
        <v>30</v>
      </c>
      <c r="F379" s="2">
        <v>46161</v>
      </c>
      <c r="G379">
        <v>30</v>
      </c>
      <c r="H379">
        <v>1</v>
      </c>
    </row>
    <row r="380" spans="1:8">
      <c r="A380" t="s">
        <v>389</v>
      </c>
      <c r="B380" s="2">
        <v>46093</v>
      </c>
      <c r="C380" t="s">
        <v>11</v>
      </c>
      <c r="D380" s="3">
        <v>23549.62</v>
      </c>
      <c r="E380">
        <v>45</v>
      </c>
      <c r="F380" s="2">
        <v>46157</v>
      </c>
      <c r="G380">
        <v>64</v>
      </c>
      <c r="H380">
        <v>1</v>
      </c>
    </row>
    <row r="381" spans="1:8">
      <c r="A381" t="s">
        <v>390</v>
      </c>
      <c r="B381" s="2">
        <v>46141</v>
      </c>
      <c r="C381" t="s">
        <v>9</v>
      </c>
      <c r="D381" s="3">
        <v>23813.71</v>
      </c>
      <c r="E381">
        <v>60</v>
      </c>
      <c r="F381" s="2"/>
      <c r="G381">
        <v>62</v>
      </c>
      <c r="H381">
        <v>0</v>
      </c>
    </row>
    <row r="382" spans="1:8">
      <c r="A382" t="s">
        <v>391</v>
      </c>
      <c r="B382" s="2">
        <v>46116</v>
      </c>
      <c r="C382" t="s">
        <v>11</v>
      </c>
      <c r="D382" s="3">
        <v>10217.73</v>
      </c>
      <c r="E382">
        <v>30</v>
      </c>
      <c r="F382" s="2">
        <v>46138</v>
      </c>
      <c r="G382">
        <v>22</v>
      </c>
      <c r="H382">
        <v>1</v>
      </c>
    </row>
    <row r="383" spans="1:8">
      <c r="A383" t="s">
        <v>392</v>
      </c>
      <c r="B383" s="2">
        <v>46139</v>
      </c>
      <c r="C383" t="s">
        <v>9</v>
      </c>
      <c r="D383" s="3">
        <v>22258.5</v>
      </c>
      <c r="E383">
        <v>60</v>
      </c>
      <c r="F383" s="2"/>
      <c r="G383">
        <v>64</v>
      </c>
      <c r="H383">
        <v>0</v>
      </c>
    </row>
    <row r="384" spans="1:8">
      <c r="A384" t="s">
        <v>393</v>
      </c>
      <c r="B384" s="2">
        <v>46075</v>
      </c>
      <c r="C384" t="s">
        <v>9</v>
      </c>
      <c r="D384" s="3">
        <v>11164.19</v>
      </c>
      <c r="E384">
        <v>30</v>
      </c>
      <c r="F384" s="2">
        <v>46116</v>
      </c>
      <c r="G384">
        <v>41</v>
      </c>
      <c r="H384">
        <v>1</v>
      </c>
    </row>
    <row r="385" spans="1:8">
      <c r="A385" t="s">
        <v>394</v>
      </c>
      <c r="B385" s="2">
        <v>46141</v>
      </c>
      <c r="C385" t="s">
        <v>11</v>
      </c>
      <c r="D385" s="3">
        <v>4848.08</v>
      </c>
      <c r="E385">
        <v>45</v>
      </c>
      <c r="F385" s="2">
        <v>46191</v>
      </c>
      <c r="G385">
        <v>50</v>
      </c>
      <c r="H385">
        <v>1</v>
      </c>
    </row>
    <row r="386" spans="1:8">
      <c r="A386" t="s">
        <v>395</v>
      </c>
      <c r="B386" s="2">
        <v>46183</v>
      </c>
      <c r="C386" t="s">
        <v>11</v>
      </c>
      <c r="D386" s="3">
        <v>17079.57</v>
      </c>
      <c r="E386">
        <v>60</v>
      </c>
      <c r="F386" s="2"/>
      <c r="G386">
        <v>20</v>
      </c>
      <c r="H386">
        <v>0</v>
      </c>
    </row>
    <row r="387" spans="1:8">
      <c r="A387" t="s">
        <v>396</v>
      </c>
      <c r="B387" s="2">
        <v>46072</v>
      </c>
      <c r="C387" t="s">
        <v>9</v>
      </c>
      <c r="D387" s="3">
        <v>9494.18</v>
      </c>
      <c r="E387">
        <v>30</v>
      </c>
      <c r="F387" s="2">
        <v>46112</v>
      </c>
      <c r="G387">
        <v>40</v>
      </c>
      <c r="H387">
        <v>1</v>
      </c>
    </row>
    <row r="388" spans="1:8">
      <c r="A388" t="s">
        <v>397</v>
      </c>
      <c r="B388" s="2">
        <v>46099</v>
      </c>
      <c r="C388" t="s">
        <v>9</v>
      </c>
      <c r="D388" s="3">
        <v>8511.4</v>
      </c>
      <c r="E388">
        <v>45</v>
      </c>
      <c r="F388" s="2">
        <v>46153</v>
      </c>
      <c r="G388">
        <v>54</v>
      </c>
      <c r="H388">
        <v>1</v>
      </c>
    </row>
    <row r="389" spans="1:8">
      <c r="A389" t="s">
        <v>398</v>
      </c>
      <c r="B389" s="2">
        <v>46151</v>
      </c>
      <c r="C389" t="s">
        <v>9</v>
      </c>
      <c r="D389" s="3">
        <v>37077.85</v>
      </c>
      <c r="E389">
        <v>30</v>
      </c>
      <c r="F389" s="2"/>
      <c r="G389">
        <v>52</v>
      </c>
      <c r="H389">
        <v>0</v>
      </c>
    </row>
    <row r="390" spans="1:8">
      <c r="A390" t="s">
        <v>399</v>
      </c>
      <c r="B390" s="2">
        <v>46140</v>
      </c>
      <c r="C390" t="s">
        <v>15</v>
      </c>
      <c r="D390" s="3">
        <v>732.86</v>
      </c>
      <c r="E390">
        <v>45</v>
      </c>
      <c r="F390" s="2">
        <v>46197</v>
      </c>
      <c r="G390">
        <v>57</v>
      </c>
      <c r="H390">
        <v>1</v>
      </c>
    </row>
    <row r="391" spans="1:8">
      <c r="A391" t="s">
        <v>400</v>
      </c>
      <c r="B391" s="2">
        <v>46148</v>
      </c>
      <c r="C391" t="s">
        <v>9</v>
      </c>
      <c r="D391" s="3">
        <v>2059.33</v>
      </c>
      <c r="E391">
        <v>45</v>
      </c>
      <c r="F391" s="2"/>
      <c r="G391">
        <v>55</v>
      </c>
      <c r="H391">
        <v>0</v>
      </c>
    </row>
    <row r="392" spans="1:8">
      <c r="A392" t="s">
        <v>401</v>
      </c>
      <c r="B392" s="2">
        <v>46132</v>
      </c>
      <c r="C392" t="s">
        <v>11</v>
      </c>
      <c r="D392" s="3">
        <v>2593.4699999999998</v>
      </c>
      <c r="E392">
        <v>30</v>
      </c>
      <c r="F392" s="2">
        <v>46166</v>
      </c>
      <c r="G392">
        <v>34</v>
      </c>
      <c r="H392">
        <v>1</v>
      </c>
    </row>
    <row r="393" spans="1:8">
      <c r="A393" t="s">
        <v>402</v>
      </c>
      <c r="B393" s="2">
        <v>46149</v>
      </c>
      <c r="C393" t="s">
        <v>15</v>
      </c>
      <c r="D393" s="3">
        <v>5910.94</v>
      </c>
      <c r="E393">
        <v>30</v>
      </c>
      <c r="F393" s="2">
        <v>46185</v>
      </c>
      <c r="G393">
        <v>36</v>
      </c>
      <c r="H393">
        <v>1</v>
      </c>
    </row>
    <row r="394" spans="1:8">
      <c r="A394" t="s">
        <v>403</v>
      </c>
      <c r="B394" s="2">
        <v>46139</v>
      </c>
      <c r="C394" t="s">
        <v>11</v>
      </c>
      <c r="D394" s="3">
        <v>6589.37</v>
      </c>
      <c r="E394">
        <v>30</v>
      </c>
      <c r="F394" s="2">
        <v>46169</v>
      </c>
      <c r="G394">
        <v>30</v>
      </c>
      <c r="H394">
        <v>1</v>
      </c>
    </row>
    <row r="395" spans="1:8">
      <c r="A395" t="s">
        <v>404</v>
      </c>
      <c r="B395" s="2">
        <v>46064</v>
      </c>
      <c r="C395" t="s">
        <v>9</v>
      </c>
      <c r="D395" s="3">
        <v>1882.76</v>
      </c>
      <c r="E395">
        <v>30</v>
      </c>
      <c r="F395" s="2">
        <v>46096</v>
      </c>
      <c r="G395">
        <v>32</v>
      </c>
      <c r="H395">
        <v>1</v>
      </c>
    </row>
    <row r="396" spans="1:8">
      <c r="A396" t="s">
        <v>405</v>
      </c>
      <c r="B396" s="2">
        <v>46159</v>
      </c>
      <c r="C396" t="s">
        <v>15</v>
      </c>
      <c r="D396" s="3">
        <v>3173.73</v>
      </c>
      <c r="E396">
        <v>30</v>
      </c>
      <c r="F396" s="2">
        <v>46181</v>
      </c>
      <c r="G396">
        <v>22</v>
      </c>
      <c r="H396">
        <v>1</v>
      </c>
    </row>
    <row r="397" spans="1:8">
      <c r="A397" t="s">
        <v>406</v>
      </c>
      <c r="B397" s="2">
        <v>46116</v>
      </c>
      <c r="C397" t="s">
        <v>11</v>
      </c>
      <c r="D397" s="3">
        <v>3593.85</v>
      </c>
      <c r="E397">
        <v>30</v>
      </c>
      <c r="F397" s="2">
        <v>46148</v>
      </c>
      <c r="G397">
        <v>32</v>
      </c>
      <c r="H397">
        <v>1</v>
      </c>
    </row>
    <row r="398" spans="1:8">
      <c r="A398" t="s">
        <v>407</v>
      </c>
      <c r="B398" s="2">
        <v>46061</v>
      </c>
      <c r="C398" t="s">
        <v>9</v>
      </c>
      <c r="D398" s="3">
        <v>99234.95</v>
      </c>
      <c r="E398">
        <v>30</v>
      </c>
      <c r="F398" s="2">
        <v>46102</v>
      </c>
      <c r="G398">
        <v>41</v>
      </c>
      <c r="H398">
        <v>1</v>
      </c>
    </row>
    <row r="399" spans="1:8">
      <c r="A399" t="s">
        <v>408</v>
      </c>
      <c r="B399" s="2">
        <v>46111</v>
      </c>
      <c r="C399" t="s">
        <v>15</v>
      </c>
      <c r="D399" s="3">
        <v>51511.66</v>
      </c>
      <c r="E399">
        <v>30</v>
      </c>
      <c r="F399" s="2">
        <v>46152</v>
      </c>
      <c r="G399">
        <v>41</v>
      </c>
      <c r="H399">
        <v>1</v>
      </c>
    </row>
    <row r="400" spans="1:8">
      <c r="A400" t="s">
        <v>409</v>
      </c>
      <c r="B400" s="2">
        <v>46114</v>
      </c>
      <c r="C400" t="s">
        <v>11</v>
      </c>
      <c r="D400" s="3">
        <v>5631.17</v>
      </c>
      <c r="E400">
        <v>45</v>
      </c>
      <c r="F400" s="2">
        <v>46178</v>
      </c>
      <c r="G400">
        <v>64</v>
      </c>
      <c r="H400">
        <v>1</v>
      </c>
    </row>
    <row r="401" spans="1:8">
      <c r="A401" t="s">
        <v>410</v>
      </c>
      <c r="B401" s="2">
        <v>46066</v>
      </c>
      <c r="C401" t="s">
        <v>11</v>
      </c>
      <c r="D401" s="3">
        <v>5909.04</v>
      </c>
      <c r="E401">
        <v>45</v>
      </c>
      <c r="F401" s="2">
        <v>46102</v>
      </c>
      <c r="G401">
        <v>36</v>
      </c>
      <c r="H401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C446E-F5B1-410B-8BD3-F0B6DAD1B942}">
  <dimension ref="B2:I80"/>
  <sheetViews>
    <sheetView tabSelected="1" topLeftCell="A75" workbookViewId="0">
      <selection activeCell="F89" sqref="F89"/>
    </sheetView>
  </sheetViews>
  <sheetFormatPr defaultRowHeight="13.5"/>
  <cols>
    <col min="2" max="2" width="16.25" customWidth="1"/>
    <col min="3" max="3" width="20" bestFit="1" customWidth="1"/>
    <col min="4" max="4" width="16.75" bestFit="1" customWidth="1"/>
    <col min="5" max="5" width="14.125" bestFit="1" customWidth="1"/>
    <col min="7" max="7" width="12.75" bestFit="1" customWidth="1"/>
  </cols>
  <sheetData>
    <row r="2" spans="2:9">
      <c r="B2" t="str" cm="1">
        <f t="array" ref="B2:I7">_xlfn._xlws.PY(0,0,Invoices[#All])</f>
        <v>invoice_id</v>
      </c>
      <c r="C2" t="str">
        <v>issue_date</v>
      </c>
      <c r="D2" t="str">
        <v>customer_segment</v>
      </c>
      <c r="E2" t="str">
        <v>invoice_amount</v>
      </c>
      <c r="F2" t="str">
        <v>payment_terms_days</v>
      </c>
      <c r="G2" t="str">
        <v>payment_date</v>
      </c>
      <c r="H2" t="str">
        <v>days_observed</v>
      </c>
      <c r="I2" t="str">
        <v>paid</v>
      </c>
    </row>
    <row r="3" spans="2:9">
      <c r="B3" t="str">
        <v>INV-0001</v>
      </c>
      <c r="C3" vm="1">
        <v>46151</v>
      </c>
      <c r="D3" t="str">
        <v>Small Business</v>
      </c>
      <c r="E3">
        <v>47897.41</v>
      </c>
      <c r="F3">
        <v>30</v>
      </c>
      <c r="G3" vm="2">
        <v>46189</v>
      </c>
      <c r="H3">
        <v>38</v>
      </c>
      <c r="I3">
        <v>1</v>
      </c>
    </row>
    <row r="4" spans="2:9">
      <c r="B4" t="str">
        <v>INV-0002</v>
      </c>
      <c r="C4" vm="3">
        <v>46089</v>
      </c>
      <c r="D4" t="str">
        <v>Mid-market</v>
      </c>
      <c r="E4">
        <v>33091.839999999997</v>
      </c>
      <c r="F4">
        <v>60</v>
      </c>
      <c r="G4" vm="4">
        <v>46140</v>
      </c>
      <c r="H4">
        <v>51</v>
      </c>
      <c r="I4">
        <v>1</v>
      </c>
    </row>
    <row r="5" spans="2:9">
      <c r="B5" t="str">
        <v>INV-0003</v>
      </c>
      <c r="C5" vm="5">
        <v>46162</v>
      </c>
      <c r="D5" t="str">
        <v>Small Business</v>
      </c>
      <c r="E5">
        <v>10971.26</v>
      </c>
      <c r="F5">
        <v>45</v>
      </c>
      <c r="G5" t="e">
        <v>#NUM!</v>
      </c>
      <c r="H5">
        <v>41</v>
      </c>
      <c r="I5">
        <v>0</v>
      </c>
    </row>
    <row r="6" spans="2:9">
      <c r="B6" t="str">
        <v>INV-0004</v>
      </c>
      <c r="C6" vm="5">
        <v>46162</v>
      </c>
      <c r="D6" t="str">
        <v>Small Business</v>
      </c>
      <c r="E6">
        <v>32808.620000000003</v>
      </c>
      <c r="F6">
        <v>30</v>
      </c>
      <c r="G6" vm="6">
        <v>46201</v>
      </c>
      <c r="H6">
        <v>39</v>
      </c>
      <c r="I6">
        <v>1</v>
      </c>
    </row>
    <row r="7" spans="2:9">
      <c r="B7" t="str">
        <v>INV-0005</v>
      </c>
      <c r="C7" vm="7">
        <v>46139</v>
      </c>
      <c r="D7" t="str">
        <v>Enterprise</v>
      </c>
      <c r="E7">
        <v>8603.07</v>
      </c>
      <c r="F7">
        <v>60</v>
      </c>
      <c r="G7" vm="8">
        <v>46202</v>
      </c>
      <c r="H7">
        <v>63</v>
      </c>
      <c r="I7">
        <v>1</v>
      </c>
    </row>
    <row r="9" spans="2:9">
      <c r="B9" t="str" cm="1">
        <f t="array" ref="B9:F20">_xlfn._xlws.PY(1,0)</f>
        <v/>
      </c>
      <c r="C9" t="str">
        <v>Surv prob</v>
      </c>
      <c r="D9" t="str">
        <v>Surv prob SE</v>
      </c>
      <c r="E9" t="str">
        <v>num at risk</v>
      </c>
      <c r="F9" t="str">
        <v>num events</v>
      </c>
    </row>
    <row r="10" spans="2:9">
      <c r="B10" t="str">
        <v>Time</v>
      </c>
      <c r="C10" t="str">
        <v/>
      </c>
      <c r="D10" t="str">
        <v/>
      </c>
      <c r="E10" t="str">
        <v/>
      </c>
      <c r="F10" t="str">
        <v/>
      </c>
    </row>
    <row r="11" spans="2:9">
      <c r="B11">
        <v>5</v>
      </c>
      <c r="C11">
        <v>0.99750000000000016</v>
      </c>
      <c r="D11">
        <v>2.4968730444297729E-3</v>
      </c>
      <c r="E11">
        <v>400</v>
      </c>
      <c r="F11">
        <v>1</v>
      </c>
    </row>
    <row r="12" spans="2:9">
      <c r="B12">
        <v>8</v>
      </c>
      <c r="C12">
        <v>0.99500000000000022</v>
      </c>
      <c r="D12">
        <v>3.5266839949164722E-3</v>
      </c>
      <c r="E12">
        <v>399</v>
      </c>
      <c r="F12">
        <v>1</v>
      </c>
    </row>
    <row r="13" spans="2:9">
      <c r="B13">
        <v>10</v>
      </c>
      <c r="C13">
        <v>0.99250000000000027</v>
      </c>
      <c r="D13">
        <v>4.3138584816843507E-3</v>
      </c>
      <c r="E13">
        <v>398</v>
      </c>
      <c r="F13">
        <v>1</v>
      </c>
    </row>
    <row r="14" spans="2:9">
      <c r="B14">
        <v>12</v>
      </c>
      <c r="C14">
        <v>0.98743622448979618</v>
      </c>
      <c r="D14">
        <v>5.5834994611129495E-3</v>
      </c>
      <c r="E14">
        <v>392</v>
      </c>
      <c r="F14">
        <v>2</v>
      </c>
    </row>
    <row r="15" spans="2:9">
      <c r="B15">
        <v>14</v>
      </c>
      <c r="C15">
        <v>0.98227989955773454</v>
      </c>
      <c r="D15">
        <v>6.6389116473157817E-3</v>
      </c>
      <c r="E15">
        <v>383</v>
      </c>
      <c r="F15">
        <v>2</v>
      </c>
    </row>
    <row r="16" spans="2:9">
      <c r="B16">
        <v>15</v>
      </c>
      <c r="C16">
        <v>0.97450459692271296</v>
      </c>
      <c r="D16">
        <v>7.9606792499649429E-3</v>
      </c>
      <c r="E16">
        <v>379</v>
      </c>
      <c r="F16">
        <v>3</v>
      </c>
    </row>
    <row r="17" spans="2:6">
      <c r="B17">
        <v>16</v>
      </c>
      <c r="C17">
        <v>0.96927937120194763</v>
      </c>
      <c r="D17">
        <v>8.7334376239051222E-3</v>
      </c>
      <c r="E17">
        <v>373</v>
      </c>
      <c r="F17">
        <v>2</v>
      </c>
    </row>
    <row r="18" spans="2:6">
      <c r="B18">
        <v>18</v>
      </c>
      <c r="C18">
        <v>0.96663828299703769</v>
      </c>
      <c r="D18">
        <v>9.1002298444603641E-3</v>
      </c>
      <c r="E18">
        <v>367</v>
      </c>
      <c r="F18">
        <v>1</v>
      </c>
    </row>
    <row r="19" spans="2:6">
      <c r="B19">
        <v>19</v>
      </c>
      <c r="C19">
        <v>0.96132708363991115</v>
      </c>
      <c r="D19">
        <v>9.7945678758699656E-3</v>
      </c>
      <c r="E19">
        <v>364</v>
      </c>
      <c r="F19">
        <v>2</v>
      </c>
    </row>
    <row r="20" spans="2:6">
      <c r="B20">
        <v>21</v>
      </c>
      <c r="C20">
        <v>0.95863429068853889</v>
      </c>
      <c r="D20">
        <v>1.0130532674213346E-2</v>
      </c>
      <c r="E20">
        <v>357</v>
      </c>
      <c r="F20">
        <v>1</v>
      </c>
    </row>
    <row r="22" spans="2:6">
      <c r="B22" t="e" cm="1" vm="9">
        <f t="array" ref="B22">_xlfn._xlws.PY(2,0)</f>
        <v>#VALUE!</v>
      </c>
    </row>
    <row r="45" spans="2:3">
      <c r="B45" t="str" cm="1">
        <f t="array" ref="B45:C48">_xlfn._xlws.PY(3,0)</f>
        <v>days_since_invoice</v>
      </c>
      <c r="C45" t="str">
        <v>probability_unpaid</v>
      </c>
    </row>
    <row r="46" spans="2:3">
      <c r="B46">
        <v>30</v>
      </c>
      <c r="C46" s="4">
        <v>0.84339176704663099</v>
      </c>
    </row>
    <row r="47" spans="2:3">
      <c r="B47">
        <v>45</v>
      </c>
      <c r="C47" s="4">
        <v>0.57350841549431286</v>
      </c>
    </row>
    <row r="48" spans="2:3">
      <c r="B48">
        <v>60</v>
      </c>
      <c r="C48" s="4">
        <v>0.26572010103136551</v>
      </c>
    </row>
    <row r="51" spans="2:2">
      <c r="B51" cm="1" vm="10">
        <f t="array" ref="B51">_xlfn._xlws.PY(4,1)</f>
        <v>49</v>
      </c>
    </row>
    <row r="53" spans="2:2">
      <c r="B53" t="e" cm="1" vm="11">
        <f t="array" ref="B53">_xlfn._xlws.PY(5,0)</f>
        <v>#VALUE!</v>
      </c>
    </row>
    <row r="77" spans="2:3">
      <c r="B77" t="str" cm="1">
        <f t="array" ref="B77:C80">_xlfn._xlws.PY(6,0)</f>
        <v>customer_segment</v>
      </c>
      <c r="C77" t="str">
        <v>median_payment_days</v>
      </c>
    </row>
    <row r="78" spans="2:3">
      <c r="B78" t="str">
        <v>Enterprise</v>
      </c>
      <c r="C78">
        <v>41</v>
      </c>
    </row>
    <row r="79" spans="2:3">
      <c r="B79" t="str">
        <v>Mid-market</v>
      </c>
      <c r="C79">
        <v>51</v>
      </c>
    </row>
    <row r="80" spans="2:3">
      <c r="B80" t="str">
        <v>Small Business</v>
      </c>
      <c r="C80">
        <v>54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2026-08-30T12:52:47Z</dcterms:created>
  <dcterms:modified xsi:type="dcterms:W3CDTF">2026-08-30T13:31:51Z</dcterms:modified>
  <cp:category/>
  <cp:contentStatus/>
</cp:coreProperties>
</file>